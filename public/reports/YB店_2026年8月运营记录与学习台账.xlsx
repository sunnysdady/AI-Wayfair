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5d1ed84e4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驾驶舱" sheetId="1" r:id="R812a8e5a2e664ad0"/>
    <x:sheet xmlns:r="http://schemas.openxmlformats.org/officeDocument/2006/relationships" name="参数与护栏" sheetId="2" r:id="R387c63b13f4b43cb"/>
    <x:sheet xmlns:r="http://schemas.openxmlformats.org/officeDocument/2006/relationships" name="每日数据" sheetId="3" r:id="Rbf45f60a27fd4340"/>
    <x:sheet xmlns:r="http://schemas.openxmlformats.org/officeDocument/2006/relationships" name="每日任务" sheetId="4" r:id="Rcea2a9bd01c24350"/>
    <x:sheet xmlns:r="http://schemas.openxmlformats.org/officeDocument/2006/relationships" name="周复盘" sheetId="5" r:id="R9d661f5e09204664"/>
    <x:sheet xmlns:r="http://schemas.openxmlformats.org/officeDocument/2006/relationships" name="SKU责任" sheetId="6" r:id="R79245c74b1244202"/>
    <x:sheet xmlns:r="http://schemas.openxmlformats.org/officeDocument/2006/relationships" name="决策与实验" sheetId="7" r:id="Re835d0bd118142c9"/>
    <x:sheet xmlns:r="http://schemas.openxmlformats.org/officeDocument/2006/relationships" name="规则版本" sheetId="8" r:id="Re7fb7de2f3a5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&quot;$&quot;#,##0"/>
    <x:numFmt numFmtId="202" formatCode="yyyy-mm-dd"/>
    <x:numFmt numFmtId="203" formatCode="&quot;$&quot;#,##0.00"/>
    <x:numFmt numFmtId="204" formatCode="0.00x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6770"/>
      <x:name val="Carlito"/>
    </x:font>
    <x:font>
      <x:b/>
      <x:sz val="11"/>
      <x:color rgb="FF0B2545"/>
      <x:name val="Carlito"/>
    </x:font>
    <x:font>
      <x:sz val="10"/>
      <x:color rgb="FF111827"/>
      <x:name val="Carlito"/>
    </x:font>
    <x:font>
      <x:b/>
      <x:sz val="12"/>
      <x:color rgb="FF0B2545"/>
      <x:name val="Carlito"/>
    </x:font>
    <x:font>
      <x:sz val="10"/>
      <x:color rgb="FF0B254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7F9FC"/>
      </x:patternFill>
    </x:fill>
    <x:fill>
      <x:patternFill patternType="solid">
        <x:fgColor rgb="FFE8EEF5"/>
      </x:patternFill>
    </x:fill>
    <x:fill>
      <x:patternFill patternType="solid">
        <x:fgColor rgb="FFFFF8D6"/>
      </x:patternFill>
    </x:fill>
    <x:fill>
      <x:patternFill patternType="solid">
        <x:fgColor rgb="FFF2F4F7"/>
      </x:patternFill>
    </x:fill>
    <x:fill>
      <x:patternFill patternType="solid">
        <x:fgColor rgb="FFFFF4CC"/>
      </x:patternFill>
    </x:fill>
  </x:fills>
  <x:borders count="9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bottom style="thin">
        <x:color rgb="FFD9DEE5"/>
      </x:bottom>
    </x:border>
    <x:border>
      <x:top style="thin">
        <x:color rgb="FFD9DEE5"/>
      </x:top>
      <x:bottom style="thin">
        <x:color rgb="FFD9DEE5"/>
      </x:bottom>
    </x:border>
    <x:border>
      <x:left style="thin">
        <x:color rgb="FFD9DEE5"/>
      </x:left>
      <x:top style="thin">
        <x:color rgb="FFD9DEE5"/>
      </x:top>
    </x:border>
    <x:border>
      <x:top style="thin">
        <x:color rgb="FFD9DEE5"/>
      </x:top>
    </x:border>
    <x:border>
      <x:right style="thin">
        <x:color rgb="FFD9DEE5"/>
      </x:right>
      <x:top style="thin">
        <x:color rgb="FFD9DEE5"/>
      </x:top>
    </x:border>
    <x:border>
      <x:left style="thin">
        <x:color rgb="FFD9DEE5"/>
      </x:left>
      <x:bottom style="thin">
        <x:color rgb="FFD9DEE5"/>
      </x:bottom>
    </x:border>
    <x:border>
      <x:right style="thin">
        <x:color rgb="FFD9DEE5"/>
      </x:right>
      <x:bottom style="thin">
        <x:color rgb="FFD9DEE5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3" fontId="4" fillId="0" borderId="2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204" fontId="4" fillId="0" borderId="2" xfId="0" applyNumberFormat="1" applyFont="1" applyFill="1" applyBorder="1" applyAlignment="1">
      <x:alignment vertical="center" wrapText="1"/>
    </x:xf>
    <x:xf numFmtId="204" fontId="4" fillId="0" borderId="3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3" fontId="4" fillId="5" borderId="2" xfId="0" applyNumberFormat="1" applyFont="1" applyFill="1" applyBorder="1" applyAlignment="1">
      <x:alignment vertical="center" wrapText="1"/>
    </x:xf>
    <x:xf numFmtId="204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3" fontId="4" fillId="5" borderId="3" xfId="0" applyNumberFormat="1" applyFont="1" applyFill="1" applyBorder="1" applyAlignment="1">
      <x:alignment vertical="center" wrapText="1"/>
    </x:xf>
    <x:xf numFmtId="204" fontId="4" fillId="5" borderId="3" xfId="0" applyNumberFormat="1" applyFont="1" applyFill="1" applyBorder="1" applyAlignment="1">
      <x:alignment vertical="center" wrapText="1"/>
    </x:xf>
    <x:xf numFmtId="202" fontId="4" fillId="5" borderId="2" xfId="0" applyNumberFormat="1" applyFont="1" applyFill="1" applyBorder="1" applyAlignment="1">
      <x:alignment vertical="center" wrapText="1"/>
    </x:xf>
    <x:xf numFmtId="202" fontId="4" fillId="5" borderId="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2" xfId="0" applyNumberFormat="1" applyFont="1" applyFill="1" applyBorder="1"/>
    <x:xf numFmtId="0" fontId="6" fillId="7" borderId="8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9A5A00"/>
      </x:font>
      <x:fill>
        <x:patternFill patternType="solid">
          <x:bgColor rgb="FFFFF1DE"/>
        </x:patternFill>
      </x:fill>
    </x:dxf>
    <x:dxf>
      <x:font>
        <x:b/>
        <x:color rgb="FF256D3B"/>
      </x:font>
      <x:fill>
        <x:patternFill patternType="solid">
          <x:bgColor rgb="FFE8F4EA"/>
        </x:patternFill>
      </x:fill>
    </x:dxf>
    <x:dxf>
      <x:font>
        <x:color rgb="FF5C6770"/>
      </x:font>
      <x:fill>
        <x:patternFill patternType="solid">
          <x:bgColor rgb="FFF2F4F7"/>
        </x:patternFill>
      </x:fill>
    </x:dxf>
    <x:dxf>
      <x:font>
        <x:b/>
        <x:color rgb="FF256D3B"/>
      </x:font>
      <x:fill>
        <x:patternFill patternType="solid">
          <x:bgColor rgb="FFE8F4EA"/>
        </x:patternFill>
      </x:fill>
    </x:dxf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color rgb="FF9B1C1C"/>
      </x:font>
      <x:fill>
        <x:patternFill patternType="solid">
          <x:bgColor rgb="FFFDEBEC"/>
        </x:patternFill>
      </x:fill>
    </x:dxf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9A5A00"/>
      </x:font>
      <x:fill>
        <x:patternFill patternType="solid">
          <x:bgColor rgb="FFFFF1DE"/>
        </x:patternFill>
      </x:fill>
    </x:dxf>
    <x:dxf>
      <x:font>
        <x:b/>
        <x:color rgb="FF256D3B"/>
      </x:font>
      <x:fill>
        <x:patternFill patternType="solid">
          <x:bgColor rgb="FFE8F4EA"/>
        </x:patternFill>
      </x:fill>
    </x:dxf>
    <x:dxf>
      <x:font>
        <x:color rgb="FF5C6770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4cd43fd4147d8" /><Relationship Type="http://schemas.openxmlformats.org/officeDocument/2006/relationships/theme" Target="/xl/theme/theme1.xml" Id="R713202edac7044e0" /><Relationship Type="http://schemas.openxmlformats.org/officeDocument/2006/relationships/sharedStrings" Target="/xl/sharedStrings.xml" Id="Rd2f6f6262b0e458c" /><Relationship Type="http://schemas.openxmlformats.org/officeDocument/2006/relationships/worksheet" Target="/xl/worksheets/sheet1.xml" Id="R812a8e5a2e664ad0" /><Relationship Type="http://schemas.openxmlformats.org/officeDocument/2006/relationships/worksheet" Target="/xl/worksheets/sheet2.xml" Id="R387c63b13f4b43cb" /><Relationship Type="http://schemas.openxmlformats.org/officeDocument/2006/relationships/worksheet" Target="/xl/worksheets/sheet3.xml" Id="Rbf45f60a27fd4340" /><Relationship Type="http://schemas.openxmlformats.org/officeDocument/2006/relationships/worksheet" Target="/xl/worksheets/sheet4.xml" Id="Rcea2a9bd01c24350" /><Relationship Type="http://schemas.openxmlformats.org/officeDocument/2006/relationships/worksheet" Target="/xl/worksheets/sheet5.xml" Id="R9d661f5e09204664" /><Relationship Type="http://schemas.openxmlformats.org/officeDocument/2006/relationships/worksheet" Target="/xl/worksheets/sheet6.xml" Id="R79245c74b1244202" /><Relationship Type="http://schemas.openxmlformats.org/officeDocument/2006/relationships/worksheet" Target="/xl/worksheets/sheet7.xml" Id="Re835d0bd118142c9" /><Relationship Type="http://schemas.openxmlformats.org/officeDocument/2006/relationships/worksheet" Target="/xl/worksheets/sheet8.xml" Id="Re7fb7de2f3a545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0ff407b9f540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8月累计Units：目标 vs 实际</a:t>
            </a:r>
          </a:p>
        </c:rich>
      </c:tx>
    </c:title>
    <c:plotArea>
      <c:lineChart>
        <c:grouping val="standard"/>
        <c:ser>
          <c:idx val="0"/>
          <c:order val="0"/>
          <c:tx>
            <c:v>累计目标</c:v>
          </c:tx>
          <c:marker>
            <c:symbol val="none"/>
          </c:marker>
          <c:cat>
            <c:strRef>
              <c:f>'月度驾驶舱'!$N$3:$N$33</c:f>
              <c:strCache>
                <c:ptCount val="0"/>
              </c:strCache>
            </c:strRef>
          </c:cat>
          <c:val>
            <c:numRef>
              <c:f>'月度驾驶舱'!$O$3:$O$33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累计实际</c:v>
          </c:tx>
          <c:marker>
            <c:symbol val="none"/>
          </c:marker>
          <c:cat>
            <c:strRef>
              <c:f>'月度驾驶舱'!$N$3:$N$33</c:f>
              <c:strCache>
                <c:ptCount val="0"/>
              </c:strCache>
            </c:strRef>
          </c:cat>
          <c:val>
            <c:numRef>
              <c:f>'月度驾驶舱'!$P$3:$P$33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6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0ff407b9f540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OperationsTable" displayName="DailyOperationsTable" ref="A5:T36" headerRowCount="1" totalsRowCount="0" totalsRowShown="0">
  <x:tableColumns count="20">
    <x:tableColumn id="1" name="日期"/>
    <x:tableColumn id="2" name="星期"/>
    <x:tableColumn id="3" name="周次"/>
    <x:tableColumn id="4" name="日目标"/>
    <x:tableColumn id="5" name="累计目标"/>
    <x:tableColumn id="6" name="实际Units"/>
    <x:tableColumn id="7" name="累计实际"/>
    <x:tableColumn id="8" name="节奏差"/>
    <x:tableColumn id="9" name="Revenue (USD)"/>
    <x:tableColumn id="10" name="Ad Spend (USD)"/>
    <x:tableColumn id="11" name="Ad Attributed Orders"/>
    <x:tableColumn id="12" name="WSC ROAS"/>
    <x:tableColumn id="13" name="核心库存天数"/>
    <x:tableColumn id="14" name="Fill Rate"/>
    <x:tableColumn id="15" name="折后毛利"/>
    <x:tableColumn id="16" name="数据完整率"/>
    <x:tableColumn id="17" name="状态"/>
    <x:tableColumn id="18" name="Operation ID"/>
    <x:tableColumn id="19" name="证据链接"/>
    <x:tableColumn id="20" name="日结/学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TasksTable" displayName="DailyTasksTable" ref="A5:I36" headerRowCount="1" totalsRowCount="0" totalsRowShown="0">
  <x:tableColumns count="9">
    <x:tableColumn id="1" name="日期"/>
    <x:tableColumn id="2" name="星期"/>
    <x:tableColumn id="3" name="周次"/>
    <x:tableColumn id="4" name="目标Units"/>
    <x:tableColumn id="5" name="AI / Codex负责"/>
    <x:tableColumn id="6" name="店铺负责人负责"/>
    <x:tableColumn id="7" name="当天必须留档"/>
    <x:tableColumn id="8" name="状态"/>
    <x:tableColumn id="9" name="关联Operation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uResponsibilityTable" displayName="SkuResponsibilityTable" ref="A5:H16" headerRowCount="1" totalsRowCount="0" totalsRowShown="0">
  <x:tableColumns count="8">
    <x:tableColumn id="1" name="Listing"/>
    <x:tableColumn id="2" name="Units目标"/>
    <x:tableColumn id="3" name="基础广告容量"/>
    <x:tableColumn id="4" name="角色"/>
    <x:tableColumn id="5" name="执行边界"/>
    <x:tableColumn id="6" name="实际Units"/>
    <x:tableColumn id="7" name="目标差异"/>
    <x:tableColumn id="8" name="状态/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rimentLedgerTable" displayName="ExperimentLedgerTable" ref="A5:R55" headerRowCount="1" totalsRowCount="0" totalsRowShown="0">
  <x:tableColumns count="18">
    <x:tableColumn id="1" name="Operation ID"/>
    <x:tableColumn id="2" name="日期"/>
    <x:tableColumn id="3" name="业务对象"/>
    <x:tableColumn id="4" name="问题/机会"/>
    <x:tableColumn id="5" name="假设"/>
    <x:tableColumn id="6" name="单一变量"/>
    <x:tableColumn id="7" name="目标指标"/>
    <x:tableColumn id="8" name="护栏"/>
    <x:tableColumn id="9" name="执行前值"/>
    <x:tableColumn id="10" name="执行后值"/>
    <x:tableColumn id="11" name="观察窗"/>
    <x:tableColumn id="12" name="状态"/>
    <x:tableColumn id="13" name="结果"/>
    <x:tableColumn id="14" name="证据"/>
    <x:tableColumn id="15" name="验收人"/>
    <x:tableColumn id="16" name="成熟复盘日"/>
    <x:tableColumn id="17" name="学习决定"/>
    <x:tableColumn id="18" name="规则ID/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VersionTable" displayName="RuleVersionTable" ref="A5:M40" headerRowCount="1" totalsRowCount="0" totalsRowShown="0">
  <x:tableColumns count="13">
    <x:tableColumn id="1" name="规则ID"/>
    <x:tableColumn id="2" name="版本"/>
    <x:tableColumn id="3" name="状态"/>
    <x:tableColumn id="4" name="生效日"/>
    <x:tableColumn id="5" name="适用范围"/>
    <x:tableColumn id="6" name="触发条件"/>
    <x:tableColumn id="7" name="动作"/>
    <x:tableColumn id="8" name="停止条件"/>
    <x:tableColumn id="9" name="回退动作"/>
    <x:tableColumn id="10" name="证据Operation ID"/>
    <x:tableColumn id="11" name="批准人"/>
    <x:tableColumn id="12" name="复盘日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3650c7ddc54a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adf13a41df41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b1a0894aab044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0699ddca6f946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6fed8acf3b549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d7ba3cf6e3845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4" t="str">
        <x:v>YB店｜2026年8月 月度驾驶舱</x:v>
      </x:c>
      <x:c r="B1" s="4" t="str">
        <x:v>YB店｜2026年8月 月度驾驶舱</x:v>
      </x:c>
      <x:c r="C1" s="4" t="str">
        <x:v>YB店｜2026年8月 月度驾驶舱</x:v>
      </x:c>
      <x:c r="D1" s="4" t="str">
        <x:v>YB店｜2026年8月 月度驾驶舱</x:v>
      </x:c>
      <x:c r="E1" s="4" t="str">
        <x:v>YB店｜2026年8月 月度驾驶舱</x:v>
      </x:c>
      <x:c r="F1" s="4" t="str">
        <x:v>YB店｜2026年8月 月度驾驶舱</x:v>
      </x:c>
      <x:c r="G1" s="4" t="str">
        <x:v>YB店｜2026年8月 月度驾驶舱</x:v>
      </x:c>
      <x:c r="H1" s="4" t="str">
        <x:v>YB店｜2026年8月 月度驾驶舱</x:v>
      </x:c>
      <x:c r="I1" s="4" t="str">
        <x:v>YB店｜2026年8月 月度驾驶舱</x:v>
      </x:c>
      <x:c r="J1" s="4" t="str">
        <x:v>YB店｜2026年8月 月度驾驶舱</x:v>
      </x:c>
      <x:c r="K1" s="4" t="str">
        <x:v>YB店｜2026年8月 月度驾驶舱</x:v>
      </x:c>
      <x:c r="L1" s="4" t="str">
        <x:v>YB店｜2026年8月 月度驾驶舱</x:v>
      </x:c>
    </x:row>
    <x:row r="2" ht="24" customHeight="1">
      <x:c r="A2" s="7" t="str">
        <x:v>每日填写“每日数据”后，本页自动更新目标、预测、预算、护栏与周节奏。</x:v>
      </x:c>
      <x:c r="B2" s="7" t="str">
        <x:v>每日填写“每日数据”后，本页自动更新目标、预测、预算、护栏与周节奏。</x:v>
      </x:c>
      <x:c r="C2" s="7" t="str">
        <x:v>每日填写“每日数据”后，本页自动更新目标、预测、预算、护栏与周节奏。</x:v>
      </x:c>
      <x:c r="D2" s="7" t="str">
        <x:v>每日填写“每日数据”后，本页自动更新目标、预测、预算、护栏与周节奏。</x:v>
      </x:c>
      <x:c r="E2" s="7" t="str">
        <x:v>每日填写“每日数据”后，本页自动更新目标、预测、预算、护栏与周节奏。</x:v>
      </x:c>
      <x:c r="F2" s="7" t="str">
        <x:v>每日填写“每日数据”后，本页自动更新目标、预测、预算、护栏与周节奏。</x:v>
      </x:c>
      <x:c r="G2" s="7" t="str">
        <x:v>每日填写“每日数据”后，本页自动更新目标、预测、预算、护栏与周节奏。</x:v>
      </x:c>
      <x:c r="H2" s="7" t="str">
        <x:v>每日填写“每日数据”后，本页自动更新目标、预测、预算、护栏与周节奏。</x:v>
      </x:c>
      <x:c r="I2" s="7" t="str">
        <x:v>每日填写“每日数据”后，本页自动更新目标、预测、预算、护栏与周节奏。</x:v>
      </x:c>
      <x:c r="J2" s="7" t="str">
        <x:v>每日填写“每日数据”后，本页自动更新目标、预测、预算、护栏与周节奏。</x:v>
      </x:c>
      <x:c r="K2" s="7" t="str">
        <x:v>每日填写“每日数据”后，本页自动更新目标、预测、预算、护栏与周节奏。</x:v>
      </x:c>
      <x:c r="L2" s="7" t="str">
        <x:v>每日填写“每日数据”后，本页自动更新目标、预测、预算、护栏与周节奏。</x:v>
      </x:c>
      <x:c r="N2" t="str">
        <x:v>日期</x:v>
      </x:c>
      <x:c r="O2" t="str">
        <x:v>累计目标</x:v>
      </x:c>
      <x:c r="P2" t="str">
        <x:v>累计实际</x:v>
      </x:c>
    </x:row>
    <x:row r="3">
      <x:c r="N3" t="str">
        <x:f>TEXT('每日数据'!A6,"mm-dd")</x:f>
        <x:v>08-01</x:v>
      </x:c>
      <x:c r="O3" t="n">
        <x:f>'每日数据'!E6</x:f>
        <x:v>4</x:v>
      </x:c>
      <x:c r="P3" t="str">
        <x:f>IF('每日数据'!G6="","",'每日数据'!G6)</x:f>
      </x:c>
    </x:row>
    <x:row r="4" ht="25" customHeight="1">
      <x:c r="A4" s="25" t="str">
        <x:v>核心KPI</x:v>
      </x:c>
      <x:c r="B4" s="25" t="str">
        <x:v>核心KPI</x:v>
      </x:c>
      <x:c r="C4" s="25" t="str">
        <x:v>核心KPI</x:v>
      </x:c>
      <x:c r="D4" s="25" t="str">
        <x:v>核心KPI</x:v>
      </x:c>
      <x:c r="N4" t="str">
        <x:f>TEXT('每日数据'!A7,"mm-dd")</x:f>
        <x:v>08-02</x:v>
      </x:c>
      <x:c r="O4" t="n">
        <x:f>'每日数据'!E7</x:f>
        <x:v>8</x:v>
      </x:c>
      <x:c r="P4" t="str">
        <x:f>IF('每日数据'!G7="","",'每日数据'!G7)</x:f>
      </x:c>
    </x:row>
    <x:row r="5">
      <x:c r="A5" s="44" t="str">
        <x:v>目标Units</x:v>
      </x:c>
      <x:c r="B5" s="45" t="n">
        <x:f>'参数与护栏'!B5</x:f>
        <x:v>150</x:v>
      </x:c>
      <x:c r="N5" t="str">
        <x:f>TEXT('每日数据'!A8,"mm-dd")</x:f>
        <x:v>08-03</x:v>
      </x:c>
      <x:c r="O5" t="n">
        <x:f>'每日数据'!E8</x:f>
        <x:v>12</x:v>
      </x:c>
      <x:c r="P5" t="str">
        <x:f>IF('每日数据'!G8="","",'每日数据'!G8)</x:f>
      </x:c>
    </x:row>
    <x:row r="6">
      <x:c r="A6" s="44" t="str">
        <x:v>实际Units</x:v>
      </x:c>
      <x:c r="B6" s="45" t="n">
        <x:f>SUM('每日数据'!F6:F36)</x:f>
        <x:v>0</x:v>
      </x:c>
      <x:c r="N6" t="str">
        <x:f>TEXT('每日数据'!A9,"mm-dd")</x:f>
        <x:v>08-04</x:v>
      </x:c>
      <x:c r="O6" t="n">
        <x:f>'每日数据'!E9</x:f>
        <x:v>16</x:v>
      </x:c>
      <x:c r="P6" t="str">
        <x:f>IF('每日数据'!G9="","",'每日数据'!G9)</x:f>
      </x:c>
    </x:row>
    <x:row r="7">
      <x:c r="A7" s="44" t="str">
        <x:v>完成率</x:v>
      </x:c>
      <x:c r="B7" s="46" t="n">
        <x:f>IFERROR(B6/B5,"")</x:f>
        <x:v>0</x:v>
      </x:c>
      <x:c r="N7" t="str">
        <x:f>TEXT('每日数据'!A10,"mm-dd")</x:f>
        <x:v>08-05</x:v>
      </x:c>
      <x:c r="O7" t="n">
        <x:f>'每日数据'!E10</x:f>
        <x:v>20</x:v>
      </x:c>
      <x:c r="P7" t="str">
        <x:f>IF('每日数据'!G10="","",'每日数据'!G10)</x:f>
      </x:c>
    </x:row>
    <x:row r="8">
      <x:c r="A8" s="44" t="str">
        <x:v>月末预测</x:v>
      </x:c>
      <x:c r="B8" s="45" t="str">
        <x:f>IF(COUNT('每日数据'!F6:F36)=0,"",SUM('每日数据'!F6:F36)/COUNT('每日数据'!F6:F36)*31)</x:f>
      </x:c>
      <x:c r="N8" t="str">
        <x:f>TEXT('每日数据'!A11,"mm-dd")</x:f>
        <x:v>08-06</x:v>
      </x:c>
      <x:c r="O8" t="n">
        <x:f>'每日数据'!E11</x:f>
        <x:v>25</x:v>
      </x:c>
      <x:c r="P8" t="str">
        <x:f>IF('每日数据'!G11="","",'每日数据'!G11)</x:f>
      </x:c>
    </x:row>
    <x:row r="9">
      <x:c r="A9" s="44" t="str">
        <x:v>广告花费</x:v>
      </x:c>
      <x:c r="B9" s="47" t="n">
        <x:f>SUM('每日数据'!J6:J36)</x:f>
        <x:v>0</x:v>
      </x:c>
      <x:c r="N9" t="str">
        <x:f>TEXT('每日数据'!A12,"mm-dd")</x:f>
        <x:v>08-07</x:v>
      </x:c>
      <x:c r="O9" t="n">
        <x:f>'每日数据'!E12</x:f>
        <x:v>30</x:v>
      </x:c>
      <x:c r="P9" t="str">
        <x:f>IF('每日数据'!G12="","",'每日数据'!G12)</x:f>
      </x:c>
    </x:row>
    <x:row r="10">
      <x:c r="A10" s="44" t="str">
        <x:v>预算余量</x:v>
      </x:c>
      <x:c r="B10" s="47" t="n">
        <x:f>'参数与护栏'!B8-B9</x:f>
        <x:v>2500</x:v>
      </x:c>
      <x:c r="N10" t="str">
        <x:f>TEXT('每日数据'!A13,"mm-dd")</x:f>
        <x:v>08-08</x:v>
      </x:c>
      <x:c r="O10" t="n">
        <x:f>'每日数据'!E13</x:f>
        <x:v>35</x:v>
      </x:c>
      <x:c r="P10" t="str">
        <x:f>IF('每日数据'!G13="","",'每日数据'!G13)</x:f>
      </x:c>
    </x:row>
    <x:row r="11">
      <x:c r="A11" s="44" t="str">
        <x:v>加权WSC ROAS</x:v>
      </x:c>
      <x:c r="B11" s="48" t="str">
        <x:f>IF(B9=0,"",SUMPRODUCT('每日数据'!J6:J36,'每日数据'!L6:L36)/B9)</x:f>
      </x:c>
      <x:c r="N11" t="str">
        <x:f>TEXT('每日数据'!A14,"mm-dd")</x:f>
        <x:v>08-09</x:v>
      </x:c>
      <x:c r="O11" t="n">
        <x:f>'每日数据'!E14</x:f>
        <x:v>40</x:v>
      </x:c>
      <x:c r="P11" t="str">
        <x:f>IF('每日数据'!G14="","",'每日数据'!G14)</x:f>
      </x:c>
    </x:row>
    <x:row r="12">
      <x:c r="A12" s="44" t="str">
        <x:v>平均Fill Rate</x:v>
      </x:c>
      <x:c r="B12" s="46" t="str">
        <x:f>IFERROR(SUM('每日数据'!N6:N36)/COUNT('每日数据'!N6:N36),"")</x:f>
      </x:c>
      <x:c r="N12" t="str">
        <x:f>TEXT('每日数据'!A15,"mm-dd")</x:f>
        <x:v>08-10</x:v>
      </x:c>
      <x:c r="O12" t="n">
        <x:f>'每日数据'!E15</x:f>
        <x:v>45</x:v>
      </x:c>
      <x:c r="P12" t="str">
        <x:f>IF('每日数据'!G15="","",'每日数据'!G15)</x:f>
      </x:c>
    </x:row>
    <x:row r="13">
      <x:c r="A13" s="44" t="str">
        <x:v>平均折后毛利</x:v>
      </x:c>
      <x:c r="B13" s="46" t="str">
        <x:f>IFERROR(SUM('每日数据'!O6:O36)/COUNT('每日数据'!O6:O36),"")</x:f>
      </x:c>
      <x:c r="N13" t="str">
        <x:f>TEXT('每日数据'!A16,"mm-dd")</x:f>
        <x:v>08-11</x:v>
      </x:c>
      <x:c r="O13" t="n">
        <x:f>'每日数据'!E16</x:f>
        <x:v>50</x:v>
      </x:c>
      <x:c r="P13" t="str">
        <x:f>IF('每日数据'!G16="","",'每日数据'!G16)</x:f>
      </x:c>
    </x:row>
    <x:row r="14">
      <x:c r="N14" t="str">
        <x:f>TEXT('每日数据'!A17,"mm-dd")</x:f>
        <x:v>08-12</x:v>
      </x:c>
      <x:c r="O14" t="n">
        <x:f>'每日数据'!E17</x:f>
        <x:v>55</x:v>
      </x:c>
      <x:c r="P14" t="str">
        <x:f>IF('每日数据'!G17="","",'每日数据'!G17)</x:f>
      </x:c>
    </x:row>
    <x:row r="15" ht="25" customHeight="1">
      <x:c r="A15" s="25" t="str">
        <x:v>护栏状态</x:v>
      </x:c>
      <x:c r="B15" s="25" t="str">
        <x:v>护栏状态</x:v>
      </x:c>
      <x:c r="C15" s="25" t="str">
        <x:v>护栏状态</x:v>
      </x:c>
      <x:c r="D15" s="25" t="str">
        <x:v>护栏状态</x:v>
      </x:c>
      <x:c r="N15" t="str">
        <x:f>TEXT('每日数据'!A18,"mm-dd")</x:f>
        <x:v>08-13</x:v>
      </x:c>
      <x:c r="O15" t="n">
        <x:f>'每日数据'!E18</x:f>
        <x:v>60</x:v>
      </x:c>
      <x:c r="P15" t="str">
        <x:f>IF('每日数据'!G18="","",'每日数据'!G18)</x:f>
      </x:c>
    </x:row>
    <x:row r="16">
      <x:c r="A16" s="44" t="str">
        <x:v>广告硬上限</x:v>
      </x:c>
      <x:c r="B16" s="42" t="str">
        <x:f>IF(B9&lt;='参数与护栏'!B8,"绿灯","红灯")</x:f>
        <x:v>绿灯</x:v>
      </x:c>
      <x:c r="N16" t="str">
        <x:f>TEXT('每日数据'!A19,"mm-dd")</x:f>
        <x:v>08-14</x:v>
      </x:c>
      <x:c r="O16" t="n">
        <x:f>'每日数据'!E19</x:f>
        <x:v>65</x:v>
      </x:c>
      <x:c r="P16" t="str">
        <x:f>IF('每日数据'!G19="","",'每日数据'!G19)</x:f>
      </x:c>
    </x:row>
    <x:row r="17">
      <x:c r="A17" s="44" t="str">
        <x:v>放量ROAS</x:v>
      </x:c>
      <x:c r="B17" s="42" t="str">
        <x:f>IF(B11="","待录入",IF(B11&gt;='参数与护栏'!B11,"绿灯",IF(B11&gt;='参数与护栏'!B12,"黄灯","红灯")))</x:f>
        <x:v>待录入</x:v>
      </x:c>
      <x:c r="N17" t="str">
        <x:f>TEXT('每日数据'!A20,"mm-dd")</x:f>
        <x:v>08-15</x:v>
      </x:c>
      <x:c r="O17" t="n">
        <x:f>'每日数据'!E20</x:f>
        <x:v>70</x:v>
      </x:c>
      <x:c r="P17" t="str">
        <x:f>IF('每日数据'!G20="","",'每日数据'!G20)</x:f>
      </x:c>
    </x:row>
    <x:row r="18">
      <x:c r="A18" s="44" t="str">
        <x:v>库存覆盖</x:v>
      </x:c>
      <x:c r="B18" s="42" t="str">
        <x:f>IF(COUNT('每日数据'!M6:M36)=0,"待录入",IF(MIN('每日数据'!M6:M36)&gt;='参数与护栏'!B14,"绿灯","红灯"))</x:f>
        <x:v>待录入</x:v>
      </x:c>
      <x:c r="N18" t="str">
        <x:f>TEXT('每日数据'!A21,"mm-dd")</x:f>
        <x:v>08-16</x:v>
      </x:c>
      <x:c r="O18" t="n">
        <x:f>'每日数据'!E21</x:f>
        <x:v>75</x:v>
      </x:c>
      <x:c r="P18" t="str">
        <x:f>IF('每日数据'!G21="","",'每日数据'!G21)</x:f>
      </x:c>
    </x:row>
    <x:row r="19">
      <x:c r="A19" s="44" t="str">
        <x:v>Fill Rate</x:v>
      </x:c>
      <x:c r="B19" s="42" t="str">
        <x:f>IF(B12="","待录入",IF(B12&gt;='参数与护栏'!B10,"绿灯","红灯"))</x:f>
        <x:v>待录入</x:v>
      </x:c>
      <x:c r="N19" t="str">
        <x:f>TEXT('每日数据'!A22,"mm-dd")</x:f>
        <x:v>08-17</x:v>
      </x:c>
      <x:c r="O19" t="n">
        <x:f>'每日数据'!E22</x:f>
        <x:v>81</x:v>
      </x:c>
      <x:c r="P19" t="str">
        <x:f>IF('每日数据'!G22="","",'每日数据'!G22)</x:f>
      </x:c>
    </x:row>
    <x:row r="20">
      <x:c r="A20" s="44" t="str">
        <x:v>折后毛利</x:v>
      </x:c>
      <x:c r="B20" s="42" t="str">
        <x:f>IF(B13="","待录入",IF(B13&gt;='参数与护栏'!B9,"绿灯","红灯"))</x:f>
        <x:v>待录入</x:v>
      </x:c>
      <x:c r="N20" t="str">
        <x:f>TEXT('每日数据'!A23,"mm-dd")</x:f>
        <x:v>08-18</x:v>
      </x:c>
      <x:c r="O20" t="n">
        <x:f>'每日数据'!E23</x:f>
        <x:v>87</x:v>
      </x:c>
      <x:c r="P20" t="str">
        <x:f>IF('每日数据'!G23="","",'每日数据'!G23)</x:f>
      </x:c>
    </x:row>
    <x:row r="21">
      <x:c r="N21" t="str">
        <x:f>TEXT('每日数据'!A24,"mm-dd")</x:f>
        <x:v>08-19</x:v>
      </x:c>
      <x:c r="O21" t="n">
        <x:f>'每日数据'!E24</x:f>
        <x:v>93</x:v>
      </x:c>
      <x:c r="P21" t="str">
        <x:f>IF('每日数据'!G24="","",'每日数据'!G24)</x:f>
      </x:c>
    </x:row>
    <x:row r="22">
      <x:c r="N22" t="str">
        <x:f>TEXT('每日数据'!A25,"mm-dd")</x:f>
        <x:v>08-20</x:v>
      </x:c>
      <x:c r="O22" t="n">
        <x:f>'每日数据'!E25</x:f>
        <x:v>99</x:v>
      </x:c>
      <x:c r="P22" t="str">
        <x:f>IF('每日数据'!G25="","",'每日数据'!G25)</x:f>
      </x:c>
    </x:row>
    <x:row r="23" ht="25" customHeight="1">
      <x:c r="A23" s="25" t="str">
        <x:v>周节奏</x:v>
      </x:c>
      <x:c r="B23" s="25" t="str">
        <x:v>周节奏</x:v>
      </x:c>
      <x:c r="C23" s="25" t="str">
        <x:v>周节奏</x:v>
      </x:c>
      <x:c r="D23" s="25" t="str">
        <x:v>周节奏</x:v>
      </x:c>
      <x:c r="E23" s="25" t="str">
        <x:v>周节奏</x:v>
      </x:c>
      <x:c r="F23" s="25" t="str">
        <x:v>周节奏</x:v>
      </x:c>
      <x:c r="G23" s="25" t="str">
        <x:v>周节奏</x:v>
      </x:c>
      <x:c r="H23" s="25" t="str">
        <x:v>周节奏</x:v>
      </x:c>
      <x:c r="N23" t="str">
        <x:f>TEXT('每日数据'!A26,"mm-dd")</x:f>
        <x:v>08-21</x:v>
      </x:c>
      <x:c r="O23" t="n">
        <x:f>'每日数据'!E26</x:f>
        <x:v>105</x:v>
      </x:c>
      <x:c r="P23" t="str">
        <x:f>IF('每日数据'!G26="","",'每日数据'!G26)</x:f>
      </x:c>
    </x:row>
    <x:row r="24">
      <x:c r="A24" s="12" t="str">
        <x:v>周次</x:v>
      </x:c>
      <x:c r="B24" s="12" t="str">
        <x:v>周目标</x:v>
      </x:c>
      <x:c r="C24" s="12" t="str">
        <x:v>累计目标</x:v>
      </x:c>
      <x:c r="D24" s="12" t="str">
        <x:v>实际Units</x:v>
      </x:c>
      <x:c r="E24" s="12" t="str">
        <x:v>差异</x:v>
      </x:c>
      <x:c r="F24" s="12" t="str">
        <x:v>广告花费</x:v>
      </x:c>
      <x:c r="G24" s="12" t="str">
        <x:v>WSC ROAS</x:v>
      </x:c>
      <x:c r="H24" s="12" t="str">
        <x:v>Gate决定</x:v>
      </x:c>
      <x:c r="N24" t="str">
        <x:f>TEXT('每日数据'!A27,"mm-dd")</x:f>
        <x:v>08-22</x:v>
      </x:c>
      <x:c r="O24" t="n">
        <x:f>'每日数据'!E27</x:f>
        <x:v>109</x:v>
      </x:c>
      <x:c r="P24" t="str">
        <x:f>IF('每日数据'!G27="","",'每日数据'!G27)</x:f>
      </x:c>
    </x:row>
    <x:row r="25">
      <x:c r="A25" s="18" t="str">
        <x:v>W1</x:v>
      </x:c>
      <x:c r="B25" s="18" t="n">
        <x:v>30</x:v>
      </x:c>
      <x:c r="C25" s="18" t="n">
        <x:v>30</x:v>
      </x:c>
      <x:c r="D25" s="18" t="n">
        <x:f>'周复盘'!E6</x:f>
        <x:v>0</x:v>
      </x:c>
      <x:c r="E25" s="18" t="n">
        <x:f>'周复盘'!F6</x:f>
        <x:v>-30</x:v>
      </x:c>
      <x:c r="F25" s="28" t="n">
        <x:f>'周复盘'!H6</x:f>
        <x:v>0</x:v>
      </x:c>
      <x:c r="G25" s="30" t="str">
        <x:f>IF('周复盘'!H6=0,"",'周复盘'!I6)</x:f>
      </x:c>
      <x:c r="H25" s="18" t="str">
        <x:f>'周复盘'!L6</x:f>
        <x:v>待决策</x:v>
      </x:c>
      <x:c r="N25" t="str">
        <x:f>TEXT('每日数据'!A28,"mm-dd")</x:f>
        <x:v>08-23</x:v>
      </x:c>
      <x:c r="O25" t="n">
        <x:f>'每日数据'!E28</x:f>
        <x:v>113</x:v>
      </x:c>
      <x:c r="P25" t="str">
        <x:f>IF('每日数据'!G28="","",'每日数据'!G28)</x:f>
      </x:c>
    </x:row>
    <x:row r="26">
      <x:c r="A26" s="19" t="str">
        <x:v>W2</x:v>
      </x:c>
      <x:c r="B26" s="19" t="n">
        <x:v>35</x:v>
      </x:c>
      <x:c r="C26" s="19" t="n">
        <x:v>65</x:v>
      </x:c>
      <x:c r="D26" s="19" t="n">
        <x:f>'周复盘'!E7</x:f>
        <x:v>0</x:v>
      </x:c>
      <x:c r="E26" s="19" t="n">
        <x:f>'周复盘'!F7</x:f>
        <x:v>-35</x:v>
      </x:c>
      <x:c r="F26" s="29" t="n">
        <x:f>'周复盘'!H7</x:f>
        <x:v>0</x:v>
      </x:c>
      <x:c r="G26" s="31" t="str">
        <x:f>IF('周复盘'!H7=0,"",'周复盘'!I7)</x:f>
      </x:c>
      <x:c r="H26" s="19" t="str">
        <x:f>'周复盘'!L7</x:f>
        <x:v>待决策</x:v>
      </x:c>
      <x:c r="N26" t="str">
        <x:f>TEXT('每日数据'!A29,"mm-dd")</x:f>
        <x:v>08-24</x:v>
      </x:c>
      <x:c r="O26" t="n">
        <x:f>'每日数据'!E29</x:f>
        <x:v>118</x:v>
      </x:c>
      <x:c r="P26" t="str">
        <x:f>IF('每日数据'!G29="","",'每日数据'!G29)</x:f>
      </x:c>
    </x:row>
    <x:row r="27">
      <x:c r="A27" s="19" t="str">
        <x:v>W3</x:v>
      </x:c>
      <x:c r="B27" s="19" t="n">
        <x:v>40</x:v>
      </x:c>
      <x:c r="C27" s="19" t="n">
        <x:v>105</x:v>
      </x:c>
      <x:c r="D27" s="19" t="n">
        <x:f>'周复盘'!E8</x:f>
        <x:v>0</x:v>
      </x:c>
      <x:c r="E27" s="19" t="n">
        <x:f>'周复盘'!F8</x:f>
        <x:v>-40</x:v>
      </x:c>
      <x:c r="F27" s="29" t="n">
        <x:f>'周复盘'!H8</x:f>
        <x:v>0</x:v>
      </x:c>
      <x:c r="G27" s="31" t="str">
        <x:f>IF('周复盘'!H8=0,"",'周复盘'!I8)</x:f>
      </x:c>
      <x:c r="H27" s="19" t="str">
        <x:f>'周复盘'!L8</x:f>
        <x:v>待决策</x:v>
      </x:c>
      <x:c r="N27" t="str">
        <x:f>TEXT('每日数据'!A30,"mm-dd")</x:f>
        <x:v>08-25</x:v>
      </x:c>
      <x:c r="O27" t="n">
        <x:f>'每日数据'!E30</x:f>
        <x:v>122</x:v>
      </x:c>
      <x:c r="P27" t="str">
        <x:f>IF('每日数据'!G30="","",'每日数据'!G30)</x:f>
      </x:c>
    </x:row>
    <x:row r="28">
      <x:c r="A28" s="19" t="str">
        <x:v>W4</x:v>
      </x:c>
      <x:c r="B28" s="19" t="n">
        <x:v>45</x:v>
      </x:c>
      <x:c r="C28" s="19" t="n">
        <x:v>150</x:v>
      </x:c>
      <x:c r="D28" s="19" t="n">
        <x:f>'周复盘'!E9</x:f>
        <x:v>0</x:v>
      </x:c>
      <x:c r="E28" s="19" t="n">
        <x:f>'周复盘'!F9</x:f>
        <x:v>-45</x:v>
      </x:c>
      <x:c r="F28" s="29" t="n">
        <x:f>'周复盘'!H9</x:f>
        <x:v>0</x:v>
      </x:c>
      <x:c r="G28" s="31" t="str">
        <x:f>IF('周复盘'!H9=0,"",'周复盘'!I9)</x:f>
      </x:c>
      <x:c r="H28" s="19" t="str">
        <x:f>'周复盘'!L9</x:f>
        <x:v>待决策</x:v>
      </x:c>
      <x:c r="N28" t="str">
        <x:f>TEXT('每日数据'!A31,"mm-dd")</x:f>
        <x:v>08-26</x:v>
      </x:c>
      <x:c r="O28" t="n">
        <x:f>'每日数据'!E31</x:f>
        <x:v>126</x:v>
      </x:c>
      <x:c r="P28" t="str">
        <x:f>IF('每日数据'!G31="","",'每日数据'!G31)</x:f>
      </x:c>
    </x:row>
    <x:row r="29">
      <x:c r="N29" t="str">
        <x:f>TEXT('每日数据'!A32,"mm-dd")</x:f>
        <x:v>08-27</x:v>
      </x:c>
      <x:c r="O29" t="n">
        <x:f>'每日数据'!E32</x:f>
        <x:v>131</x:v>
      </x:c>
      <x:c r="P29" t="str">
        <x:f>IF('每日数据'!G32="","",'每日数据'!G32)</x:f>
      </x:c>
    </x:row>
    <x:row r="30">
      <x:c r="N30" t="str">
        <x:f>TEXT('每日数据'!A33,"mm-dd")</x:f>
        <x:v>08-28</x:v>
      </x:c>
      <x:c r="O30" t="n">
        <x:f>'每日数据'!E33</x:f>
        <x:v>135</x:v>
      </x:c>
      <x:c r="P30" t="str">
        <x:f>IF('每日数据'!G33="","",'每日数据'!G33)</x:f>
      </x:c>
    </x:row>
    <x:row r="31">
      <x:c r="A31" s="63" t="str">
        <x:v>使用顺序：每日数据 → 每日任务 → 周复盘 → 决策与实验 → 规则版本。没有证据与验收人的任务，不得进入“已验证”。</x:v>
      </x:c>
      <x:c r="B31" s="64" t="str">
        <x:v>使用顺序：每日数据 → 每日任务 → 周复盘 → 决策与实验 → 规则版本。没有证据与验收人的任务，不得进入“已验证”。</x:v>
      </x:c>
      <x:c r="C31" s="64" t="str">
        <x:v>使用顺序：每日数据 → 每日任务 → 周复盘 → 决策与实验 → 规则版本。没有证据与验收人的任务，不得进入“已验证”。</x:v>
      </x:c>
      <x:c r="D31" s="64" t="str">
        <x:v>使用顺序：每日数据 → 每日任务 → 周复盘 → 决策与实验 → 规则版本。没有证据与验收人的任务，不得进入“已验证”。</x:v>
      </x:c>
      <x:c r="E31" s="64" t="str">
        <x:v>使用顺序：每日数据 → 每日任务 → 周复盘 → 决策与实验 → 规则版本。没有证据与验收人的任务，不得进入“已验证”。</x:v>
      </x:c>
      <x:c r="F31" s="64" t="str">
        <x:v>使用顺序：每日数据 → 每日任务 → 周复盘 → 决策与实验 → 规则版本。没有证据与验收人的任务，不得进入“已验证”。</x:v>
      </x:c>
      <x:c r="G31" s="64" t="str">
        <x:v>使用顺序：每日数据 → 每日任务 → 周复盘 → 决策与实验 → 规则版本。没有证据与验收人的任务，不得进入“已验证”。</x:v>
      </x:c>
      <x:c r="H31" s="64" t="str">
        <x:v>使用顺序：每日数据 → 每日任务 → 周复盘 → 决策与实验 → 规则版本。没有证据与验收人的任务，不得进入“已验证”。</x:v>
      </x:c>
      <x:c r="I31" s="64" t="str">
        <x:v>使用顺序：每日数据 → 每日任务 → 周复盘 → 决策与实验 → 规则版本。没有证据与验收人的任务，不得进入“已验证”。</x:v>
      </x:c>
      <x:c r="J31" s="64" t="str">
        <x:v>使用顺序：每日数据 → 每日任务 → 周复盘 → 决策与实验 → 规则版本。没有证据与验收人的任务，不得进入“已验证”。</x:v>
      </x:c>
      <x:c r="K31" s="64" t="str">
        <x:v>使用顺序：每日数据 → 每日任务 → 周复盘 → 决策与实验 → 规则版本。没有证据与验收人的任务，不得进入“已验证”。</x:v>
      </x:c>
      <x:c r="L31" s="65" t="str">
        <x:v>使用顺序：每日数据 → 每日任务 → 周复盘 → 决策与实验 → 规则版本。没有证据与验收人的任务，不得进入“已验证”。</x:v>
      </x:c>
      <x:c r="N31" t="str">
        <x:f>TEXT('每日数据'!A34,"mm-dd")</x:f>
        <x:v>08-29</x:v>
      </x:c>
      <x:c r="O31" t="n">
        <x:f>'每日数据'!E34</x:f>
        <x:v>139</x:v>
      </x:c>
      <x:c r="P31" t="str">
        <x:f>IF('每日数据'!G34="","",'每日数据'!G34)</x:f>
      </x:c>
    </x:row>
    <x:row r="32">
      <x:c r="A32" s="66" t="str">
        <x:v>使用顺序：每日数据 → 每日任务 → 周复盘 → 决策与实验 → 规则版本。没有证据与验收人的任务，不得进入“已验证”。</x:v>
      </x:c>
      <x:c r="B32" s="67" t="str">
        <x:v>使用顺序：每日数据 → 每日任务 → 周复盘 → 决策与实验 → 规则版本。没有证据与验收人的任务，不得进入“已验证”。</x:v>
      </x:c>
      <x:c r="C32" s="67" t="str">
        <x:v>使用顺序：每日数据 → 每日任务 → 周复盘 → 决策与实验 → 规则版本。没有证据与验收人的任务，不得进入“已验证”。</x:v>
      </x:c>
      <x:c r="D32" s="67" t="str">
        <x:v>使用顺序：每日数据 → 每日任务 → 周复盘 → 决策与实验 → 规则版本。没有证据与验收人的任务，不得进入“已验证”。</x:v>
      </x:c>
      <x:c r="E32" s="67" t="str">
        <x:v>使用顺序：每日数据 → 每日任务 → 周复盘 → 决策与实验 → 规则版本。没有证据与验收人的任务，不得进入“已验证”。</x:v>
      </x:c>
      <x:c r="F32" s="67" t="str">
        <x:v>使用顺序：每日数据 → 每日任务 → 周复盘 → 决策与实验 → 规则版本。没有证据与验收人的任务，不得进入“已验证”。</x:v>
      </x:c>
      <x:c r="G32" s="67" t="str">
        <x:v>使用顺序：每日数据 → 每日任务 → 周复盘 → 决策与实验 → 规则版本。没有证据与验收人的任务，不得进入“已验证”。</x:v>
      </x:c>
      <x:c r="H32" s="67" t="str">
        <x:v>使用顺序：每日数据 → 每日任务 → 周复盘 → 决策与实验 → 规则版本。没有证据与验收人的任务，不得进入“已验证”。</x:v>
      </x:c>
      <x:c r="I32" s="67" t="str">
        <x:v>使用顺序：每日数据 → 每日任务 → 周复盘 → 决策与实验 → 规则版本。没有证据与验收人的任务，不得进入“已验证”。</x:v>
      </x:c>
      <x:c r="J32" s="67" t="str">
        <x:v>使用顺序：每日数据 → 每日任务 → 周复盘 → 决策与实验 → 规则版本。没有证据与验收人的任务，不得进入“已验证”。</x:v>
      </x:c>
      <x:c r="K32" s="67" t="str">
        <x:v>使用顺序：每日数据 → 每日任务 → 周复盘 → 决策与实验 → 规则版本。没有证据与验收人的任务，不得进入“已验证”。</x:v>
      </x:c>
      <x:c r="L32" s="68" t="str">
        <x:v>使用顺序：每日数据 → 每日任务 → 周复盘 → 决策与实验 → 规则版本。没有证据与验收人的任务，不得进入“已验证”。</x:v>
      </x:c>
      <x:c r="N32" t="str">
        <x:f>TEXT('每日数据'!A35,"mm-dd")</x:f>
        <x:v>08-30</x:v>
      </x:c>
      <x:c r="O32" t="n">
        <x:f>'每日数据'!E35</x:f>
        <x:v>144</x:v>
      </x:c>
      <x:c r="P32" t="str">
        <x:f>IF('每日数据'!G35="","",'每日数据'!G35)</x:f>
      </x:c>
    </x:row>
    <x:row r="33">
      <x:c r="N33" t="str">
        <x:f>TEXT('每日数据'!A36,"mm-dd")</x:f>
        <x:v>08-31</x:v>
      </x:c>
      <x:c r="O33" t="n">
        <x:f>'每日数据'!E36</x:f>
        <x:v>150</x:v>
      </x:c>
      <x:c r="P33" t="str">
        <x:f>IF('每日数据'!G36="","",'每日数据'!G36)</x:f>
      </x:c>
    </x:row>
  </x:sheetData>
  <x:mergeCells>
    <x:mergeCell ref="A1:L1"/>
    <x:mergeCell ref="A2:L2"/>
    <x:mergeCell ref="A4:D4"/>
    <x:mergeCell ref="A15:D15"/>
    <x:mergeCell ref="A23:H23"/>
    <x:mergeCell ref="A31:L32"/>
  </x:mergeCells>
  <x:conditionalFormatting sqref="B16:B20">
    <x:cfRule type="containsText" dxfId="7" priority="1" operator="containsText" text="红灯"/>
    <x:cfRule type="containsText" dxfId="8" priority="2" operator="containsText" text="黄灯"/>
    <x:cfRule type="containsText" dxfId="9" priority="3" operator="containsText" text="绿灯"/>
    <x:cfRule type="containsText" dxfId="10" priority="4" operator="containsText" text="待录入"/>
  </x:conditionalFormatting>
  <x:pageMargins left="0.7" right="0.7" top="0.75" bottom="0.75" header="0.3" footer="0.3"/>
  <x:drawing xmlns:r="http://schemas.openxmlformats.org/officeDocument/2006/relationships" r:id="R7d3650c7ddc54ad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38" hidden="0" customWidth="1"/>
    <x:col min="5" max="5" width="34" hidden="0" customWidth="1"/>
    <x:col min="6" max="6" width="16" hidden="0" customWidth="1"/>
  </x:cols>
  <x:sheetData>
    <x:row r="1" ht="34" customHeight="1">
      <x:c r="A1" s="4" t="str">
        <x:v>YB店｜2026年8月 参数与护栏</x:v>
      </x:c>
      <x:c r="B1" s="4" t="str">
        <x:v>YB店｜2026年8月 参数与护栏</x:v>
      </x:c>
      <x:c r="C1" s="4" t="str">
        <x:v>YB店｜2026年8月 参数与护栏</x:v>
      </x:c>
      <x:c r="D1" s="4" t="str">
        <x:v>YB店｜2026年8月 参数与护栏</x:v>
      </x:c>
      <x:c r="E1" s="4" t="str">
        <x:v>YB店｜2026年8月 参数与护栏</x:v>
      </x:c>
      <x:c r="F1" s="4" t="str">
        <x:v>YB店｜2026年8月 参数与护栏</x:v>
      </x:c>
    </x:row>
    <x:row r="2" ht="24" customHeight="1">
      <x:c r="A2" s="7" t="str">
        <x:v>黄色单元格为可编辑月度输入；规则变更必须进入“规则版本”表。</x:v>
      </x:c>
      <x:c r="B2" s="7" t="str">
        <x:v>黄色单元格为可编辑月度输入；规则变更必须进入“规则版本”表。</x:v>
      </x:c>
      <x:c r="C2" s="7" t="str">
        <x:v>黄色单元格为可编辑月度输入；规则变更必须进入“规则版本”表。</x:v>
      </x:c>
      <x:c r="D2" s="7" t="str">
        <x:v>黄色单元格为可编辑月度输入；规则变更必须进入“规则版本”表。</x:v>
      </x:c>
      <x:c r="E2" s="7" t="str">
        <x:v>黄色单元格为可编辑月度输入；规则变更必须进入“规则版本”表。</x:v>
      </x:c>
      <x:c r="F2" s="7" t="str">
        <x:v>黄色单元格为可编辑月度输入；规则变更必须进入“规则版本”表。</x:v>
      </x:c>
    </x:row>
    <x:row r="4">
      <x:c r="A4" s="12" t="str">
        <x:v>参数</x:v>
      </x:c>
      <x:c r="B4" s="12" t="str">
        <x:v>数值</x:v>
      </x:c>
      <x:c r="C4" s="12" t="str">
        <x:v>单位</x:v>
      </x:c>
      <x:c r="D4" s="12" t="str">
        <x:v>执行含义</x:v>
      </x:c>
      <x:c r="E4" s="12" t="str">
        <x:v>来源</x:v>
      </x:c>
      <x:c r="F4" s="12" t="str">
        <x:v>是否可月度更新</x:v>
      </x:c>
    </x:row>
    <x:row r="5">
      <x:c r="A5" s="18" t="str">
        <x:v>主目标</x:v>
      </x:c>
      <x:c r="B5" s="20" t="n">
        <x:v>150</x:v>
      </x:c>
      <x:c r="C5" s="18" t="str">
        <x:v>Units</x:v>
      </x:c>
      <x:c r="D5" s="18" t="str">
        <x:v>按Units Sold验收</x:v>
      </x:c>
      <x:c r="E5" s="18" t="str">
        <x:v>8月150单完整增长Playbook</x:v>
      </x:c>
      <x:c r="F5" s="18" t="str">
        <x:v>是</x:v>
      </x:c>
    </x:row>
    <x:row r="6">
      <x:c r="A6" s="19" t="str">
        <x:v>基线</x:v>
      </x:c>
      <x:c r="B6" s="21" t="n">
        <x:v>90</x:v>
      </x:c>
      <x:c r="C6" s="19" t="str">
        <x:v>Units</x:v>
      </x:c>
      <x:c r="D6" s="19" t="str">
        <x:v>6月Account基线</x:v>
      </x:c>
      <x:c r="E6" s="19" t="str">
        <x:v>8月150单完整增长Playbook</x:v>
      </x:c>
      <x:c r="F6" s="19" t="str">
        <x:v>是</x:v>
      </x:c>
    </x:row>
    <x:row r="7">
      <x:c r="A7" s="19" t="str">
        <x:v>基础广告预算</x:v>
      </x:c>
      <x:c r="B7" s="23" t="n">
        <x:v>1800</x:v>
      </x:c>
      <x:c r="C7" s="19" t="str">
        <x:v>USD</x:v>
      </x:c>
      <x:c r="D7" s="19" t="str">
        <x:v>Gate 0基础池</x:v>
      </x:c>
      <x:c r="E7" s="19" t="str">
        <x:v>8月150单完整增长Playbook</x:v>
      </x:c>
      <x:c r="F7" s="19" t="str">
        <x:v>是</x:v>
      </x:c>
    </x:row>
    <x:row r="8">
      <x:c r="A8" s="19" t="str">
        <x:v>广告硬上限</x:v>
      </x:c>
      <x:c r="B8" s="23" t="n">
        <x:v>2500</x:v>
      </x:c>
      <x:c r="C8" s="19" t="str">
        <x:v>USD</x:v>
      </x:c>
      <x:c r="D8" s="19" t="str">
        <x:v>任何情况下不得突破</x:v>
      </x:c>
      <x:c r="E8" s="19" t="str">
        <x:v>8月150单完整增长Playbook</x:v>
      </x:c>
      <x:c r="F8" s="19" t="str">
        <x:v>是</x:v>
      </x:c>
    </x:row>
    <x:row r="9">
      <x:c r="A9" s="19" t="str">
        <x:v>折后真实毛利</x:v>
      </x:c>
      <x:c r="B9" s="22" t="n">
        <x:v>0.2</x:v>
      </x:c>
      <x:c r="C9" s="19" t="str">
        <x:v>%</x:v>
      </x:c>
      <x:c r="D9" s="19" t="str">
        <x:v>低于即停止对应放量</x:v>
      </x:c>
      <x:c r="E9" s="19" t="str">
        <x:v>8月150单完整增长Playbook</x:v>
      </x:c>
      <x:c r="F9" s="19" t="str">
        <x:v>是</x:v>
      </x:c>
    </x:row>
    <x:row r="10">
      <x:c r="A10" s="19" t="str">
        <x:v>Fill Rate</x:v>
      </x:c>
      <x:c r="B10" s="22" t="n">
        <x:v>0.95</x:v>
      </x:c>
      <x:c r="C10" s="19" t="str">
        <x:v>%</x:v>
      </x:c>
      <x:c r="D10" s="19" t="str">
        <x:v>低于即停止对应广告/Offer</x:v>
      </x:c>
      <x:c r="E10" s="19" t="str">
        <x:v>8月150单完整增长Playbook</x:v>
      </x:c>
      <x:c r="F10" s="19" t="str">
        <x:v>是</x:v>
      </x:c>
    </x:row>
    <x:row r="11">
      <x:c r="A11" s="19" t="str">
        <x:v>放量ROAS</x:v>
      </x:c>
      <x:c r="B11" s="21" t="n">
        <x:v>4</x:v>
      </x:c>
      <x:c r="C11" s="19" t="str">
        <x:v>x</x:v>
      </x:c>
      <x:c r="D11" s="19" t="str">
        <x:v>达到才允许放量</x:v>
      </x:c>
      <x:c r="E11" s="19" t="str">
        <x:v>8月150单完整增长Playbook</x:v>
      </x:c>
      <x:c r="F11" s="19" t="str">
        <x:v>是</x:v>
      </x:c>
    </x:row>
    <x:row r="12">
      <x:c r="A12" s="19" t="str">
        <x:v>保留ROAS</x:v>
      </x:c>
      <x:c r="B12" s="21" t="n">
        <x:v>3.2</x:v>
      </x:c>
      <x:c r="C12" s="19" t="str">
        <x:v>x</x:v>
      </x:c>
      <x:c r="D12" s="19" t="str">
        <x:v>低于进入黄灯</x:v>
      </x:c>
      <x:c r="E12" s="19" t="str">
        <x:v>8月150单完整增长Playbook</x:v>
      </x:c>
      <x:c r="F12" s="19" t="str">
        <x:v>是</x:v>
      </x:c>
    </x:row>
    <x:row r="13">
      <x:c r="A13" s="19" t="str">
        <x:v>止损ROAS</x:v>
      </x:c>
      <x:c r="B13" s="21" t="n">
        <x:v>2.5</x:v>
      </x:c>
      <x:c r="C13" s="19" t="str">
        <x:v>x</x:v>
      </x:c>
      <x:c r="D13" s="19" t="str">
        <x:v>连续7天低于则减20%或暂停</x:v>
      </x:c>
      <x:c r="E13" s="19" t="str">
        <x:v>8月150单完整增长Playbook</x:v>
      </x:c>
      <x:c r="F13" s="19" t="str">
        <x:v>是</x:v>
      </x:c>
    </x:row>
    <x:row r="14">
      <x:c r="A14" s="19" t="str">
        <x:v>核心库存覆盖</x:v>
      </x:c>
      <x:c r="B14" s="21" t="n">
        <x:v>14</x:v>
      </x:c>
      <x:c r="C14" s="19" t="str">
        <x:v>天</x:v>
      </x:c>
      <x:c r="D14" s="19" t="str">
        <x:v>低于停止放量并迁移目标</x:v>
      </x:c>
      <x:c r="E14" s="19" t="str">
        <x:v>8月150单完整增长Playbook</x:v>
      </x:c>
      <x:c r="F14" s="19" t="str">
        <x:v>是</x:v>
      </x:c>
    </x:row>
    <x:row r="15">
      <x:c r="A15" s="19" t="str">
        <x:v>预测广告费率上限</x:v>
      </x:c>
      <x:c r="B15" s="22" t="n">
        <x:v>0.15</x:v>
      </x:c>
      <x:c r="C15" s="19" t="str">
        <x:v>%</x:v>
      </x:c>
      <x:c r="D15" s="19" t="str">
        <x:v>超线冻结Gate</x:v>
      </x:c>
      <x:c r="E15" s="19" t="str">
        <x:v>8月150单完整增长Playbook</x:v>
      </x:c>
      <x:c r="F15" s="19" t="str">
        <x:v>是</x:v>
      </x:c>
    </x:row>
    <x:row r="16">
      <x:c r="A16" s="19" t="str">
        <x:v>W1目标</x:v>
      </x:c>
      <x:c r="B16" s="21" t="n">
        <x:v>30</x:v>
      </x:c>
      <x:c r="C16" s="19" t="str">
        <x:v>Units</x:v>
      </x:c>
      <x:c r="D16" s="19" t="str">
        <x:v>8/1–8/7</x:v>
      </x:c>
      <x:c r="E16" s="19" t="str">
        <x:v>8月150单完整增长Playbook</x:v>
      </x:c>
      <x:c r="F16" s="19" t="str">
        <x:v>是</x:v>
      </x:c>
    </x:row>
    <x:row r="17">
      <x:c r="A17" s="19" t="str">
        <x:v>W2目标</x:v>
      </x:c>
      <x:c r="B17" s="21" t="n">
        <x:v>35</x:v>
      </x:c>
      <x:c r="C17" s="19" t="str">
        <x:v>Units</x:v>
      </x:c>
      <x:c r="D17" s="19" t="str">
        <x:v>8/8–8/14</x:v>
      </x:c>
      <x:c r="E17" s="19" t="str">
        <x:v>8月150单完整增长Playbook</x:v>
      </x:c>
      <x:c r="F17" s="19" t="str">
        <x:v>是</x:v>
      </x:c>
    </x:row>
    <x:row r="18">
      <x:c r="A18" s="19" t="str">
        <x:v>W3目标</x:v>
      </x:c>
      <x:c r="B18" s="21" t="n">
        <x:v>40</x:v>
      </x:c>
      <x:c r="C18" s="19" t="str">
        <x:v>Units</x:v>
      </x:c>
      <x:c r="D18" s="19" t="str">
        <x:v>8/15–8/21</x:v>
      </x:c>
      <x:c r="E18" s="19" t="str">
        <x:v>8月150单完整增长Playbook</x:v>
      </x:c>
      <x:c r="F18" s="19" t="str">
        <x:v>是</x:v>
      </x:c>
    </x:row>
    <x:row r="19">
      <x:c r="A19" s="19" t="str">
        <x:v>W4目标</x:v>
      </x:c>
      <x:c r="B19" s="21" t="n">
        <x:v>45</x:v>
      </x:c>
      <x:c r="C19" s="19" t="str">
        <x:v>Units</x:v>
      </x:c>
      <x:c r="D19" s="19" t="str">
        <x:v>8/22–8/31</x:v>
      </x:c>
      <x:c r="E19" s="19" t="str">
        <x:v>8月150单完整增长Playbook</x:v>
      </x:c>
      <x:c r="F19" s="19" t="str">
        <x:v>是</x:v>
      </x:c>
    </x:row>
    <x:row r="22" ht="25" customHeight="1">
      <x:c r="A22" s="25" t="str">
        <x:v>硬护栏（现行 v1.0）</x:v>
      </x:c>
      <x:c r="B22" s="25" t="str">
        <x:v>硬护栏（现行 v1.0）</x:v>
      </x:c>
      <x:c r="C22" s="25" t="str">
        <x:v>硬护栏（现行 v1.0）</x:v>
      </x:c>
      <x:c r="D22" s="25" t="str">
        <x:v>硬护栏（现行 v1.0）</x:v>
      </x:c>
      <x:c r="E22" s="25" t="str">
        <x:v>硬护栏（现行 v1.0）</x:v>
      </x:c>
      <x:c r="F22" s="25" t="str">
        <x:v>硬护栏（现行 v1.0）</x:v>
      </x:c>
    </x:row>
    <x:row r="23">
      <x:c r="A23" s="12" t="str">
        <x:v>护栏</x:v>
      </x:c>
      <x:c r="B23" s="12" t="str">
        <x:v>判定标准</x:v>
      </x:c>
      <x:c r="C23" s="12" t="str">
        <x:v>判定标准</x:v>
      </x:c>
      <x:c r="D23" s="12" t="str">
        <x:v>判定标准</x:v>
      </x:c>
      <x:c r="E23" s="12" t="str">
        <x:v>触发动作</x:v>
      </x:c>
      <x:c r="F23" s="12" t="str">
        <x:v>触发动作</x:v>
      </x:c>
    </x:row>
    <x:row r="24">
      <x:c r="A24" s="18" t="str">
        <x:v>G1 商品状态</x:v>
      </x:c>
      <x:c r="B24" s="18" t="str">
        <x:v>放量前必须 Live；无未解决的 Rejected / Wayfair Reviewing</x:v>
      </x:c>
      <x:c r="C24" s="18" t="str">
        <x:v>放量前必须 Live；无未解决的 Rejected / Wayfair Reviewing</x:v>
      </x:c>
      <x:c r="D24" s="18" t="str">
        <x:v>放量前必须 Live；无未解决的 Rejected / Wayfair Reviewing</x:v>
      </x:c>
      <x:c r="E24" s="18" t="str">
        <x:v>未通过：不启用Offer、不扩广告</x:v>
      </x:c>
      <x:c r="F24" s="18" t="str">
        <x:v>未通过：不启用Offer、不扩广告</x:v>
      </x:c>
    </x:row>
    <x:row r="25">
      <x:c r="A25" s="19" t="str">
        <x:v>G2 评分</x:v>
      </x:c>
      <x:c r="B25" s="19" t="str">
        <x:v>≥4.2可放量；4.0–4.19仅限额；&lt;4停止</x:v>
      </x:c>
      <x:c r="C25" s="19" t="str">
        <x:v>≥4.2可放量；4.0–4.19仅限额；&lt;4停止</x:v>
      </x:c>
      <x:c r="D25" s="19" t="str">
        <x:v>≥4.2可放量；4.0–4.19仅限额；&lt;4停止</x:v>
      </x:c>
      <x:c r="E25" s="19" t="str">
        <x:v>DRCI1007永久退出目标、预算、关键词和Offer池</x:v>
      </x:c>
      <x:c r="F25" s="19" t="str">
        <x:v>DRCI1007永久退出目标、预算、关键词和Offer池</x:v>
      </x:c>
    </x:row>
    <x:row r="26">
      <x:c r="A26" s="19" t="str">
        <x:v>G3 库存</x:v>
      </x:c>
      <x:c r="B26" s="19" t="str">
        <x:v>确认YB归属；未来14天可售库存≥1.2×Part目标；无Backorder/Discontinued</x:v>
      </x:c>
      <x:c r="C26" s="19" t="str">
        <x:v>确认YB归属；未来14天可售库存≥1.2×Part目标；无Backorder/Discontinued</x:v>
      </x:c>
      <x:c r="D26" s="19" t="str">
        <x:v>确认YB归属；未来14天可售库存≥1.2×Part目标；无Backorder/Discontinued</x:v>
      </x:c>
      <x:c r="E26" s="19" t="str">
        <x:v>核心库存&lt;14天：停止放量并迁移目标</x:v>
      </x:c>
      <x:c r="F26" s="19" t="str">
        <x:v>核心库存&lt;14天：停止放量并迁移目标</x:v>
      </x:c>
    </x:row>
    <x:row r="27">
      <x:c r="A27" s="19" t="str">
        <x:v>G4 履约</x:v>
      </x:c>
      <x:c r="B27" s="19" t="str">
        <x:v>Fill Rate≥95%；目标送达&lt;5天</x:v>
      </x:c>
      <x:c r="C27" s="19" t="str">
        <x:v>Fill Rate≥95%；目标送达&lt;5天</x:v>
      </x:c>
      <x:c r="D27" s="19" t="str">
        <x:v>Fill Rate≥95%；目标送达&lt;5天</x:v>
      </x:c>
      <x:c r="E27" s="19" t="str">
        <x:v>缺货、取消或延迟上升：同日暂停对应广告/Offer</x:v>
      </x:c>
      <x:c r="F27" s="19" t="str">
        <x:v>缺货、取消或延迟上升：同日暂停对应广告/Offer</x:v>
      </x:c>
    </x:row>
    <x:row r="28">
      <x:c r="A28" s="19" t="str">
        <x:v>G5 毛利</x:v>
      </x:c>
      <x:c r="B28" s="19" t="str">
        <x:v>折后真实毛利≥20%</x:v>
      </x:c>
      <x:c r="C28" s="19" t="str">
        <x:v>折后真实毛利≥20%</x:v>
      </x:c>
      <x:c r="D28" s="19" t="str">
        <x:v>折后真实毛利≥20%</x:v>
      </x:c>
      <x:c r="E28" s="19" t="str">
        <x:v>低于20%：不以广告或折扣换单量</x:v>
      </x:c>
      <x:c r="F28" s="19" t="str">
        <x:v>低于20%：不以广告或折扣换单量</x:v>
      </x:c>
    </x:row>
    <x:row r="29">
      <x:c r="A29" s="19" t="str">
        <x:v>G6 广告</x:v>
      </x:c>
      <x:c r="B29" s="19" t="str">
        <x:v>保留线WSC ROAS≥3.2×；放量线≥4.0×</x:v>
      </x:c>
      <x:c r="C29" s="19" t="str">
        <x:v>保留线WSC ROAS≥3.2×；放量线≥4.0×</x:v>
      </x:c>
      <x:c r="D29" s="19" t="str">
        <x:v>保留线WSC ROAS≥3.2×；放量线≥4.0×</x:v>
      </x:c>
      <x:c r="E29" s="19" t="str">
        <x:v>2.5–3.19×黄灯；&lt;2.5×连续7天减20%或暂停</x:v>
      </x:c>
      <x:c r="F29" s="19" t="str">
        <x:v>2.5–3.19×黄灯；&lt;2.5×连续7天减20%或暂停</x:v>
      </x:c>
    </x:row>
    <x:row r="30">
      <x:c r="A30" s="19" t="str">
        <x:v>G7 点击止损</x:v>
      </x:c>
      <x:c r="B30" s="19" t="str">
        <x:v>新增组≥20点击仍0单才暂停</x:v>
      </x:c>
      <x:c r="C30" s="19" t="str">
        <x:v>新增组≥20点击仍0单才暂停</x:v>
      </x:c>
      <x:c r="D30" s="19" t="str">
        <x:v>新增组≥20点击仍0单才暂停</x:v>
      </x:c>
      <x:c r="E30" s="19" t="str">
        <x:v>不足20点击且0单：锁Cap继续观察，不提前误杀</x:v>
      </x:c>
      <x:c r="F30" s="19" t="str">
        <x:v>不足20点击且0单：锁Cap继续观察，不提前误杀</x:v>
      </x:c>
    </x:row>
    <x:row r="31">
      <x:c r="A31" s="19" t="str">
        <x:v>G8 费率与日耗</x:v>
      </x:c>
      <x:c r="B31" s="19" t="str">
        <x:v>预测广告费率≤15%；日耗不得超过Daily Cap的120%</x:v>
      </x:c>
      <x:c r="C31" s="19" t="str">
        <x:v>预测广告费率≤15%；日耗不得超过Daily Cap的120%</x:v>
      </x:c>
      <x:c r="D31" s="19" t="str">
        <x:v>预测广告费率≤15%；日耗不得超过Daily Cap的120%</x:v>
      </x:c>
      <x:c r="E31" s="19" t="str">
        <x:v>超线：冻结Gate；非赢家当日降Cap</x:v>
      </x:c>
      <x:c r="F31" s="19" t="str">
        <x:v>超线：冻结Gate；非赢家当日降Cap</x:v>
      </x:c>
    </x:row>
    <x:row r="32">
      <x:c r="A32" s="19" t="str">
        <x:v>G9 归因</x:v>
      </x:c>
      <x:c r="B32" s="19" t="str">
        <x:v>Offer兑换→其余SP归因→自然单，逐单唯一归因</x:v>
      </x:c>
      <x:c r="C32" s="19" t="str">
        <x:v>Offer兑换→其余SP归因→自然单，逐单唯一归因</x:v>
      </x:c>
      <x:c r="D32" s="19" t="str">
        <x:v>Offer兑换→其余SP归因→自然单，逐单唯一归因</x:v>
      </x:c>
      <x:c r="E32" s="19" t="str">
        <x:v>缺Order ID或重复归因：不得写入已验证结论</x:v>
      </x:c>
      <x:c r="F32" s="19" t="str">
        <x:v>缺Order ID或重复归因：不得写入已验证结论</x:v>
      </x:c>
    </x:row>
    <x:row r="33">
      <x:c r="A33" s="19" t="str">
        <x:v>G10 变更控制</x:v>
      </x:c>
      <x:c r="B33" s="19" t="str">
        <x:v>一次只改一个变量；执行前保存参数快照</x:v>
      </x:c>
      <x:c r="C33" s="19" t="str">
        <x:v>一次只改一个变量；执行前保存参数快照</x:v>
      </x:c>
      <x:c r="D33" s="19" t="str">
        <x:v>一次只改一个变量；执行前保存参数快照</x:v>
      </x:c>
      <x:c r="E33" s="19" t="str">
        <x:v>每个动作必须有Operation ID、证据、验收人与复盘日</x:v>
      </x:c>
      <x:c r="F33" s="19" t="str">
        <x:v>每个动作必须有Operation ID、证据、验收人与复盘日</x:v>
      </x:c>
    </x:row>
    <x:row r="35" ht="25" customHeight="1">
      <x:c r="A35" s="25" t="str">
        <x:v>人机职责边界</x:v>
      </x:c>
      <x:c r="B35" s="25" t="str">
        <x:v>人机职责边界</x:v>
      </x:c>
      <x:c r="C35" s="25" t="str">
        <x:v>人机职责边界</x:v>
      </x:c>
      <x:c r="D35" s="25" t="str">
        <x:v>人机职责边界</x:v>
      </x:c>
      <x:c r="E35" s="25" t="str">
        <x:v>人机职责边界</x:v>
      </x:c>
      <x:c r="F35" s="25" t="str">
        <x:v>人机职责边界</x:v>
      </x:c>
    </x:row>
    <x:row r="36">
      <x:c r="A36" s="12" t="str">
        <x:v>Owner</x:v>
      </x:c>
      <x:c r="B36" s="12" t="str">
        <x:v>负责</x:v>
      </x:c>
      <x:c r="C36" s="12" t="str">
        <x:v>负责</x:v>
      </x:c>
      <x:c r="D36" s="12" t="str">
        <x:v>负责</x:v>
      </x:c>
      <x:c r="E36" s="12" t="str">
        <x:v>不负责/审批边界</x:v>
      </x:c>
      <x:c r="F36" s="12" t="str">
        <x:v>不负责/审批边界</x:v>
      </x:c>
    </x:row>
    <x:row r="37">
      <x:c r="A37" s="18" t="str">
        <x:v>AI / Codex</x:v>
      </x:c>
      <x:c r="B37" s="18" t="str">
        <x:v>取数、对账、预测、诊断、任务草案、周报、实验与规则候选</x:v>
      </x:c>
      <x:c r="C37" s="18" t="str">
        <x:v>取数、对账、预测、诊断、任务草案、周报、实验与规则候选</x:v>
      </x:c>
      <x:c r="D37" s="18" t="str">
        <x:v>取数、对账、预测、诊断、任务草案、周报、实验与规则候选</x:v>
      </x:c>
      <x:c r="E37" s="18" t="str">
        <x:v>不直接改预算、Bid、Promotion、Offer、Campaign或SKU目标</x:v>
      </x:c>
      <x:c r="F37" s="18" t="str">
        <x:v>不直接改预算、Bid、Promotion、Offer、Campaign或SKU目标</x:v>
      </x:c>
    </x:row>
    <x:row r="38">
      <x:c r="A38" s="19" t="str">
        <x:v>店铺负责人</x:v>
      </x:c>
      <x:c r="B38" s="19" t="str">
        <x:v>核实事实、审批、后台执行、跨团队协调、证据、验收与规则批准</x:v>
      </x:c>
      <x:c r="C38" s="19" t="str">
        <x:v>核实事实、审批、后台执行、跨团队协调、证据、验收与规则批准</x:v>
      </x:c>
      <x:c r="D38" s="19" t="str">
        <x:v>核实事实、审批、后台执行、跨团队协调、证据、验收与规则批准</x:v>
      </x:c>
      <x:c r="E38" s="19" t="str">
        <x:v>不得在缺少护栏/证据时用追量代替判断</x:v>
      </x:c>
      <x:c r="F38" s="19" t="str">
        <x:v>不得在缺少护栏/证据时用追量代替判断</x:v>
      </x:c>
    </x:row>
  </x:sheetData>
  <x:mergeCells>
    <x:mergeCell ref="A1:F1"/>
    <x:mergeCell ref="A2:F2"/>
    <x:mergeCell ref="A22:F22"/>
    <x:mergeCell ref="B23:D23"/>
    <x:mergeCell ref="E23:F23"/>
    <x:mergeCell ref="B24:D24"/>
    <x:mergeCell ref="E24:F24"/>
    <x:mergeCell ref="B25:D25"/>
    <x:mergeCell ref="E25:F25"/>
    <x:mergeCell ref="B26:D26"/>
    <x:mergeCell ref="E26:F26"/>
    <x:mergeCell ref="B27:D27"/>
    <x:mergeCell ref="E27:F27"/>
    <x:mergeCell ref="B28:D28"/>
    <x:mergeCell ref="E28:F28"/>
    <x:mergeCell ref="B29:D29"/>
    <x:mergeCell ref="E29:F29"/>
    <x:mergeCell ref="B30:D30"/>
    <x:mergeCell ref="E30:F30"/>
    <x:mergeCell ref="B31:D31"/>
    <x:mergeCell ref="E31:F31"/>
    <x:mergeCell ref="B32:D32"/>
    <x:mergeCell ref="E32:F32"/>
    <x:mergeCell ref="B33:D33"/>
    <x:mergeCell ref="E33:F33"/>
    <x:mergeCell ref="A35:F35"/>
    <x:mergeCell ref="B36:D36"/>
    <x:mergeCell ref="E36:F36"/>
    <x:mergeCell ref="B37:D37"/>
    <x:mergeCell ref="E37:F37"/>
    <x:mergeCell ref="B38:D38"/>
    <x:mergeCell ref="E38:F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7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0" hidden="0" customWidth="1"/>
    <x:col min="18" max="18" width="18" hidden="0" customWidth="1"/>
    <x:col min="19" max="19" width="24" hidden="0" customWidth="1"/>
    <x:col min="20" max="20" width="32" hidden="0" customWidth="1"/>
  </x:cols>
  <x:sheetData>
    <x:row r="1" ht="34" customHeight="1">
      <x:c r="A1" s="4" t="str">
        <x:v>YB店｜2026年8月 每日运营数据</x:v>
      </x:c>
      <x:c r="B1" s="4" t="str">
        <x:v>YB店｜2026年8月 每日运营数据</x:v>
      </x:c>
      <x:c r="C1" s="4" t="str">
        <x:v>YB店｜2026年8月 每日运营数据</x:v>
      </x:c>
      <x:c r="D1" s="4" t="str">
        <x:v>YB店｜2026年8月 每日运营数据</x:v>
      </x:c>
      <x:c r="E1" s="4" t="str">
        <x:v>YB店｜2026年8月 每日运营数据</x:v>
      </x:c>
      <x:c r="F1" s="4" t="str">
        <x:v>YB店｜2026年8月 每日运营数据</x:v>
      </x:c>
      <x:c r="G1" s="4" t="str">
        <x:v>YB店｜2026年8月 每日运营数据</x:v>
      </x:c>
      <x:c r="H1" s="4" t="str">
        <x:v>YB店｜2026年8月 每日运营数据</x:v>
      </x:c>
      <x:c r="I1" s="4" t="str">
        <x:v>YB店｜2026年8月 每日运营数据</x:v>
      </x:c>
      <x:c r="J1" s="4" t="str">
        <x:v>YB店｜2026年8月 每日运营数据</x:v>
      </x:c>
      <x:c r="K1" s="4" t="str">
        <x:v>YB店｜2026年8月 每日运营数据</x:v>
      </x:c>
      <x:c r="L1" s="4" t="str">
        <x:v>YB店｜2026年8月 每日运营数据</x:v>
      </x:c>
      <x:c r="M1" s="4" t="str">
        <x:v>YB店｜2026年8月 每日运营数据</x:v>
      </x:c>
      <x:c r="N1" s="4" t="str">
        <x:v>YB店｜2026年8月 每日运营数据</x:v>
      </x:c>
      <x:c r="O1" s="4" t="str">
        <x:v>YB店｜2026年8月 每日运营数据</x:v>
      </x:c>
      <x:c r="P1" s="4" t="str">
        <x:v>YB店｜2026年8月 每日运营数据</x:v>
      </x:c>
      <x:c r="Q1" s="4" t="str">
        <x:v>YB店｜2026年8月 每日运营数据</x:v>
      </x:c>
      <x:c r="R1" s="4" t="str">
        <x:v>YB店｜2026年8月 每日运营数据</x:v>
      </x:c>
      <x:c r="S1" s="4" t="str">
        <x:v>YB店｜2026年8月 每日运营数据</x:v>
      </x:c>
      <x:c r="T1" s="4" t="str">
        <x:v>YB店｜2026年8月 每日运营数据</x:v>
      </x:c>
    </x:row>
    <x:row r="2" ht="24" customHeight="1">
      <x:c r="A2" s="7" t="str">
        <x:v>每天录入黄色输入列；公式列自动计算累计、节奏差与红黄绿灯。</x:v>
      </x:c>
      <x:c r="B2" s="7" t="str">
        <x:v>每天录入黄色输入列；公式列自动计算累计、节奏差与红黄绿灯。</x:v>
      </x:c>
      <x:c r="C2" s="7" t="str">
        <x:v>每天录入黄色输入列；公式列自动计算累计、节奏差与红黄绿灯。</x:v>
      </x:c>
      <x:c r="D2" s="7" t="str">
        <x:v>每天录入黄色输入列；公式列自动计算累计、节奏差与红黄绿灯。</x:v>
      </x:c>
      <x:c r="E2" s="7" t="str">
        <x:v>每天录入黄色输入列；公式列自动计算累计、节奏差与红黄绿灯。</x:v>
      </x:c>
      <x:c r="F2" s="7" t="str">
        <x:v>每天录入黄色输入列；公式列自动计算累计、节奏差与红黄绿灯。</x:v>
      </x:c>
      <x:c r="G2" s="7" t="str">
        <x:v>每天录入黄色输入列；公式列自动计算累计、节奏差与红黄绿灯。</x:v>
      </x:c>
      <x:c r="H2" s="7" t="str">
        <x:v>每天录入黄色输入列；公式列自动计算累计、节奏差与红黄绿灯。</x:v>
      </x:c>
      <x:c r="I2" s="7" t="str">
        <x:v>每天录入黄色输入列；公式列自动计算累计、节奏差与红黄绿灯。</x:v>
      </x:c>
      <x:c r="J2" s="7" t="str">
        <x:v>每天录入黄色输入列；公式列自动计算累计、节奏差与红黄绿灯。</x:v>
      </x:c>
      <x:c r="K2" s="7" t="str">
        <x:v>每天录入黄色输入列；公式列自动计算累计、节奏差与红黄绿灯。</x:v>
      </x:c>
      <x:c r="L2" s="7" t="str">
        <x:v>每天录入黄色输入列；公式列自动计算累计、节奏差与红黄绿灯。</x:v>
      </x:c>
      <x:c r="M2" s="7" t="str">
        <x:v>每天录入黄色输入列；公式列自动计算累计、节奏差与红黄绿灯。</x:v>
      </x:c>
      <x:c r="N2" s="7" t="str">
        <x:v>每天录入黄色输入列；公式列自动计算累计、节奏差与红黄绿灯。</x:v>
      </x:c>
      <x:c r="O2" s="7" t="str">
        <x:v>每天录入黄色输入列；公式列自动计算累计、节奏差与红黄绿灯。</x:v>
      </x:c>
      <x:c r="P2" s="7" t="str">
        <x:v>每天录入黄色输入列；公式列自动计算累计、节奏差与红黄绿灯。</x:v>
      </x:c>
      <x:c r="Q2" s="7" t="str">
        <x:v>每天录入黄色输入列；公式列自动计算累计、节奏差与红黄绿灯。</x:v>
      </x:c>
      <x:c r="R2" s="7" t="str">
        <x:v>每天录入黄色输入列；公式列自动计算累计、节奏差与红黄绿灯。</x:v>
      </x:c>
      <x:c r="S2" s="7" t="str">
        <x:v>每天录入黄色输入列；公式列自动计算累计、节奏差与红黄绿灯。</x:v>
      </x:c>
      <x:c r="T2" s="7" t="str">
        <x:v>每天录入黄色输入列；公式列自动计算累计、节奏差与红黄绿灯。</x:v>
      </x:c>
    </x:row>
    <x:row r="5">
      <x:c r="A5" s="12" t="str">
        <x:v>日期</x:v>
      </x:c>
      <x:c r="B5" s="12" t="str">
        <x:v>星期</x:v>
      </x:c>
      <x:c r="C5" s="12" t="str">
        <x:v>周次</x:v>
      </x:c>
      <x:c r="D5" s="12" t="str">
        <x:v>日目标</x:v>
      </x:c>
      <x:c r="E5" s="12" t="str">
        <x:v>累计目标</x:v>
      </x:c>
      <x:c r="F5" s="12" t="str">
        <x:v>实际Units</x:v>
      </x:c>
      <x:c r="G5" s="12" t="str">
        <x:v>累计实际</x:v>
      </x:c>
      <x:c r="H5" s="12" t="str">
        <x:v>节奏差</x:v>
      </x:c>
      <x:c r="I5" s="12" t="str">
        <x:v>Revenue (USD)</x:v>
      </x:c>
      <x:c r="J5" s="12" t="str">
        <x:v>Ad Spend (USD)</x:v>
      </x:c>
      <x:c r="K5" s="12" t="str">
        <x:v>Ad Attributed Orders</x:v>
      </x:c>
      <x:c r="L5" s="12" t="str">
        <x:v>WSC ROAS</x:v>
      </x:c>
      <x:c r="M5" s="12" t="str">
        <x:v>核心库存天数</x:v>
      </x:c>
      <x:c r="N5" s="12" t="str">
        <x:v>Fill Rate</x:v>
      </x:c>
      <x:c r="O5" s="12" t="str">
        <x:v>折后毛利</x:v>
      </x:c>
      <x:c r="P5" s="12" t="str">
        <x:v>数据完整率</x:v>
      </x:c>
      <x:c r="Q5" s="12" t="str">
        <x:v>状态</x:v>
      </x:c>
      <x:c r="R5" s="12" t="str">
        <x:v>Operation ID</x:v>
      </x:c>
      <x:c r="S5" s="12" t="str">
        <x:v>证据链接</x:v>
      </x:c>
      <x:c r="T5" s="12" t="str">
        <x:v>日结/学习</x:v>
      </x:c>
    </x:row>
    <x:row r="6">
      <x:c r="A6" s="26" t="n">
        <x:v>46235</x:v>
      </x:c>
      <x:c r="B6" s="18" t="str">
        <x:v>周六</x:v>
      </x:c>
      <x:c r="C6" s="18" t="str">
        <x:v>W1</x:v>
      </x:c>
      <x:c r="D6" s="18" t="n">
        <x:v>4</x:v>
      </x:c>
      <x:c r="E6" s="18" t="n">
        <x:v>4</x:v>
      </x:c>
      <x:c r="F6" s="20"/>
      <x:c r="G6" s="18" t="str">
        <x:f>IF(F6="","",SUM($F$6:F6))</x:f>
      </x:c>
      <x:c r="H6" s="18" t="str">
        <x:f>IF(G6="","",G6-E6)</x:f>
      </x:c>
      <x:c r="I6" s="34"/>
      <x:c r="J6" s="34"/>
      <x:c r="K6" s="20"/>
      <x:c r="L6" s="35"/>
      <x:c r="M6" s="20"/>
      <x:c r="N6" s="36"/>
      <x:c r="O6" s="36"/>
      <x:c r="P6" s="36"/>
      <x:c r="Q6" s="18" t="str">
        <x:f>IF(F6="","待录入",IF(OR(AND(N6&lt;&gt;"",N6&lt;0.95),AND(O6&lt;&gt;"",O6&lt;0.2),AND(M6&lt;&gt;"",M6&lt;14),AND(L6&lt;&gt;"",L6&lt;2.5)),"红灯",IF(OR(H6&lt;0,AND(L6&lt;&gt;"",L6&lt;3.2),AND(P6&lt;&gt;"",P6&lt;0.95)),"黄灯","绿灯")))</x:f>
        <x:v>待录入</x:v>
      </x:c>
      <x:c r="R6" s="20"/>
      <x:c r="S6" s="20"/>
      <x:c r="T6" s="20"/>
    </x:row>
    <x:row r="7">
      <x:c r="A7" s="27" t="n">
        <x:v>46236</x:v>
      </x:c>
      <x:c r="B7" s="19" t="str">
        <x:v>周日</x:v>
      </x:c>
      <x:c r="C7" s="19" t="str">
        <x:v>W1</x:v>
      </x:c>
      <x:c r="D7" s="19" t="n">
        <x:v>4</x:v>
      </x:c>
      <x:c r="E7" s="19" t="n">
        <x:v>8</x:v>
      </x:c>
      <x:c r="F7" s="21"/>
      <x:c r="G7" s="19" t="str">
        <x:f>IF(F7="","",SUM($F$6:F7))</x:f>
      </x:c>
      <x:c r="H7" s="19" t="str">
        <x:f>IF(G7="","",G7-E7)</x:f>
      </x:c>
      <x:c r="I7" s="37"/>
      <x:c r="J7" s="37"/>
      <x:c r="K7" s="21"/>
      <x:c r="L7" s="38"/>
      <x:c r="M7" s="21"/>
      <x:c r="N7" s="22"/>
      <x:c r="O7" s="22"/>
      <x:c r="P7" s="22"/>
      <x:c r="Q7" s="19" t="str">
        <x:f>IF(F7="","待录入",IF(OR(AND(N7&lt;&gt;"",N7&lt;0.95),AND(O7&lt;&gt;"",O7&lt;0.2),AND(M7&lt;&gt;"",M7&lt;14),AND(L7&lt;&gt;"",L7&lt;2.5)),"红灯",IF(OR(H7&lt;0,AND(L7&lt;&gt;"",L7&lt;3.2),AND(P7&lt;&gt;"",P7&lt;0.95)),"黄灯","绿灯")))</x:f>
        <x:v>待录入</x:v>
      </x:c>
      <x:c r="R7" s="21"/>
      <x:c r="S7" s="21"/>
      <x:c r="T7" s="21"/>
    </x:row>
    <x:row r="8">
      <x:c r="A8" s="27" t="n">
        <x:v>46237</x:v>
      </x:c>
      <x:c r="B8" s="19" t="str">
        <x:v>周一</x:v>
      </x:c>
      <x:c r="C8" s="19" t="str">
        <x:v>W1</x:v>
      </x:c>
      <x:c r="D8" s="19" t="n">
        <x:v>4</x:v>
      </x:c>
      <x:c r="E8" s="19" t="n">
        <x:v>12</x:v>
      </x:c>
      <x:c r="F8" s="21"/>
      <x:c r="G8" s="19" t="str">
        <x:f>IF(F8="","",SUM($F$6:F8))</x:f>
      </x:c>
      <x:c r="H8" s="19" t="str">
        <x:f>IF(G8="","",G8-E8)</x:f>
      </x:c>
      <x:c r="I8" s="37"/>
      <x:c r="J8" s="37"/>
      <x:c r="K8" s="21"/>
      <x:c r="L8" s="38"/>
      <x:c r="M8" s="21"/>
      <x:c r="N8" s="22"/>
      <x:c r="O8" s="22"/>
      <x:c r="P8" s="22"/>
      <x:c r="Q8" s="19" t="str">
        <x:f>IF(F8="","待录入",IF(OR(AND(N8&lt;&gt;"",N8&lt;0.95),AND(O8&lt;&gt;"",O8&lt;0.2),AND(M8&lt;&gt;"",M8&lt;14),AND(L8&lt;&gt;"",L8&lt;2.5)),"红灯",IF(OR(H8&lt;0,AND(L8&lt;&gt;"",L8&lt;3.2),AND(P8&lt;&gt;"",P8&lt;0.95)),"黄灯","绿灯")))</x:f>
        <x:v>待录入</x:v>
      </x:c>
      <x:c r="R8" s="21"/>
      <x:c r="S8" s="21"/>
      <x:c r="T8" s="21"/>
    </x:row>
    <x:row r="9">
      <x:c r="A9" s="27" t="n">
        <x:v>46238</x:v>
      </x:c>
      <x:c r="B9" s="19" t="str">
        <x:v>周二</x:v>
      </x:c>
      <x:c r="C9" s="19" t="str">
        <x:v>W1</x:v>
      </x:c>
      <x:c r="D9" s="19" t="n">
        <x:v>4</x:v>
      </x:c>
      <x:c r="E9" s="19" t="n">
        <x:v>16</x:v>
      </x:c>
      <x:c r="F9" s="21"/>
      <x:c r="G9" s="19" t="str">
        <x:f>IF(F9="","",SUM($F$6:F9))</x:f>
      </x:c>
      <x:c r="H9" s="19" t="str">
        <x:f>IF(G9="","",G9-E9)</x:f>
      </x:c>
      <x:c r="I9" s="37"/>
      <x:c r="J9" s="37"/>
      <x:c r="K9" s="21"/>
      <x:c r="L9" s="38"/>
      <x:c r="M9" s="21"/>
      <x:c r="N9" s="22"/>
      <x:c r="O9" s="22"/>
      <x:c r="P9" s="22"/>
      <x:c r="Q9" s="19" t="str">
        <x:f>IF(F9="","待录入",IF(OR(AND(N9&lt;&gt;"",N9&lt;0.95),AND(O9&lt;&gt;"",O9&lt;0.2),AND(M9&lt;&gt;"",M9&lt;14),AND(L9&lt;&gt;"",L9&lt;2.5)),"红灯",IF(OR(H9&lt;0,AND(L9&lt;&gt;"",L9&lt;3.2),AND(P9&lt;&gt;"",P9&lt;0.95)),"黄灯","绿灯")))</x:f>
        <x:v>待录入</x:v>
      </x:c>
      <x:c r="R9" s="21"/>
      <x:c r="S9" s="21"/>
      <x:c r="T9" s="21"/>
    </x:row>
    <x:row r="10">
      <x:c r="A10" s="27" t="n">
        <x:v>46239</x:v>
      </x:c>
      <x:c r="B10" s="19" t="str">
        <x:v>周三</x:v>
      </x:c>
      <x:c r="C10" s="19" t="str">
        <x:v>W1</x:v>
      </x:c>
      <x:c r="D10" s="19" t="n">
        <x:v>4</x:v>
      </x:c>
      <x:c r="E10" s="19" t="n">
        <x:v>20</x:v>
      </x:c>
      <x:c r="F10" s="21"/>
      <x:c r="G10" s="19" t="str">
        <x:f>IF(F10="","",SUM($F$6:F10))</x:f>
      </x:c>
      <x:c r="H10" s="19" t="str">
        <x:f>IF(G10="","",G10-E10)</x:f>
      </x:c>
      <x:c r="I10" s="37"/>
      <x:c r="J10" s="37"/>
      <x:c r="K10" s="21"/>
      <x:c r="L10" s="38"/>
      <x:c r="M10" s="21"/>
      <x:c r="N10" s="22"/>
      <x:c r="O10" s="22"/>
      <x:c r="P10" s="22"/>
      <x:c r="Q10" s="19" t="str">
        <x:f>IF(F10="","待录入",IF(OR(AND(N10&lt;&gt;"",N10&lt;0.95),AND(O10&lt;&gt;"",O10&lt;0.2),AND(M10&lt;&gt;"",M10&lt;14),AND(L10&lt;&gt;"",L10&lt;2.5)),"红灯",IF(OR(H10&lt;0,AND(L10&lt;&gt;"",L10&lt;3.2),AND(P10&lt;&gt;"",P10&lt;0.95)),"黄灯","绿灯")))</x:f>
        <x:v>待录入</x:v>
      </x:c>
      <x:c r="R10" s="21"/>
      <x:c r="S10" s="21"/>
      <x:c r="T10" s="21"/>
    </x:row>
    <x:row r="11">
      <x:c r="A11" s="27" t="n">
        <x:v>46240</x:v>
      </x:c>
      <x:c r="B11" s="19" t="str">
        <x:v>周四</x:v>
      </x:c>
      <x:c r="C11" s="19" t="str">
        <x:v>W1</x:v>
      </x:c>
      <x:c r="D11" s="19" t="n">
        <x:v>5</x:v>
      </x:c>
      <x:c r="E11" s="19" t="n">
        <x:v>25</x:v>
      </x:c>
      <x:c r="F11" s="21"/>
      <x:c r="G11" s="19" t="str">
        <x:f>IF(F11="","",SUM($F$6:F11))</x:f>
      </x:c>
      <x:c r="H11" s="19" t="str">
        <x:f>IF(G11="","",G11-E11)</x:f>
      </x:c>
      <x:c r="I11" s="37"/>
      <x:c r="J11" s="37"/>
      <x:c r="K11" s="21"/>
      <x:c r="L11" s="38"/>
      <x:c r="M11" s="21"/>
      <x:c r="N11" s="22"/>
      <x:c r="O11" s="22"/>
      <x:c r="P11" s="22"/>
      <x:c r="Q11" s="19" t="str">
        <x:f>IF(F11="","待录入",IF(OR(AND(N11&lt;&gt;"",N11&lt;0.95),AND(O11&lt;&gt;"",O11&lt;0.2),AND(M11&lt;&gt;"",M11&lt;14),AND(L11&lt;&gt;"",L11&lt;2.5)),"红灯",IF(OR(H11&lt;0,AND(L11&lt;&gt;"",L11&lt;3.2),AND(P11&lt;&gt;"",P11&lt;0.95)),"黄灯","绿灯")))</x:f>
        <x:v>待录入</x:v>
      </x:c>
      <x:c r="R11" s="21"/>
      <x:c r="S11" s="21"/>
      <x:c r="T11" s="21"/>
    </x:row>
    <x:row r="12">
      <x:c r="A12" s="27" t="n">
        <x:v>46241</x:v>
      </x:c>
      <x:c r="B12" s="19" t="str">
        <x:v>周五</x:v>
      </x:c>
      <x:c r="C12" s="19" t="str">
        <x:v>W1</x:v>
      </x:c>
      <x:c r="D12" s="19" t="n">
        <x:v>5</x:v>
      </x:c>
      <x:c r="E12" s="19" t="n">
        <x:v>30</x:v>
      </x:c>
      <x:c r="F12" s="21"/>
      <x:c r="G12" s="19" t="str">
        <x:f>IF(F12="","",SUM($F$6:F12))</x:f>
      </x:c>
      <x:c r="H12" s="19" t="str">
        <x:f>IF(G12="","",G12-E12)</x:f>
      </x:c>
      <x:c r="I12" s="37"/>
      <x:c r="J12" s="37"/>
      <x:c r="K12" s="21"/>
      <x:c r="L12" s="38"/>
      <x:c r="M12" s="21"/>
      <x:c r="N12" s="22"/>
      <x:c r="O12" s="22"/>
      <x:c r="P12" s="22"/>
      <x:c r="Q12" s="19" t="str">
        <x:f>IF(F12="","待录入",IF(OR(AND(N12&lt;&gt;"",N12&lt;0.95),AND(O12&lt;&gt;"",O12&lt;0.2),AND(M12&lt;&gt;"",M12&lt;14),AND(L12&lt;&gt;"",L12&lt;2.5)),"红灯",IF(OR(H12&lt;0,AND(L12&lt;&gt;"",L12&lt;3.2),AND(P12&lt;&gt;"",P12&lt;0.95)),"黄灯","绿灯")))</x:f>
        <x:v>待录入</x:v>
      </x:c>
      <x:c r="R12" s="21"/>
      <x:c r="S12" s="21"/>
      <x:c r="T12" s="21"/>
    </x:row>
    <x:row r="13">
      <x:c r="A13" s="27" t="n">
        <x:v>46242</x:v>
      </x:c>
      <x:c r="B13" s="19" t="str">
        <x:v>周六</x:v>
      </x:c>
      <x:c r="C13" s="19" t="str">
        <x:v>W2</x:v>
      </x:c>
      <x:c r="D13" s="19" t="n">
        <x:v>5</x:v>
      </x:c>
      <x:c r="E13" s="19" t="n">
        <x:v>35</x:v>
      </x:c>
      <x:c r="F13" s="21"/>
      <x:c r="G13" s="19" t="str">
        <x:f>IF(F13="","",SUM($F$6:F13))</x:f>
      </x:c>
      <x:c r="H13" s="19" t="str">
        <x:f>IF(G13="","",G13-E13)</x:f>
      </x:c>
      <x:c r="I13" s="37"/>
      <x:c r="J13" s="37"/>
      <x:c r="K13" s="21"/>
      <x:c r="L13" s="38"/>
      <x:c r="M13" s="21"/>
      <x:c r="N13" s="22"/>
      <x:c r="O13" s="22"/>
      <x:c r="P13" s="22"/>
      <x:c r="Q13" s="19" t="str">
        <x:f>IF(F13="","待录入",IF(OR(AND(N13&lt;&gt;"",N13&lt;0.95),AND(O13&lt;&gt;"",O13&lt;0.2),AND(M13&lt;&gt;"",M13&lt;14),AND(L13&lt;&gt;"",L13&lt;2.5)),"红灯",IF(OR(H13&lt;0,AND(L13&lt;&gt;"",L13&lt;3.2),AND(P13&lt;&gt;"",P13&lt;0.95)),"黄灯","绿灯")))</x:f>
        <x:v>待录入</x:v>
      </x:c>
      <x:c r="R13" s="21"/>
      <x:c r="S13" s="21"/>
      <x:c r="T13" s="21"/>
    </x:row>
    <x:row r="14">
      <x:c r="A14" s="27" t="n">
        <x:v>46243</x:v>
      </x:c>
      <x:c r="B14" s="19" t="str">
        <x:v>周日</x:v>
      </x:c>
      <x:c r="C14" s="19" t="str">
        <x:v>W2</x:v>
      </x:c>
      <x:c r="D14" s="19" t="n">
        <x:v>5</x:v>
      </x:c>
      <x:c r="E14" s="19" t="n">
        <x:v>40</x:v>
      </x:c>
      <x:c r="F14" s="21"/>
      <x:c r="G14" s="19" t="str">
        <x:f>IF(F14="","",SUM($F$6:F14))</x:f>
      </x:c>
      <x:c r="H14" s="19" t="str">
        <x:f>IF(G14="","",G14-E14)</x:f>
      </x:c>
      <x:c r="I14" s="37"/>
      <x:c r="J14" s="37"/>
      <x:c r="K14" s="21"/>
      <x:c r="L14" s="38"/>
      <x:c r="M14" s="21"/>
      <x:c r="N14" s="22"/>
      <x:c r="O14" s="22"/>
      <x:c r="P14" s="22"/>
      <x:c r="Q14" s="19" t="str">
        <x:f>IF(F14="","待录入",IF(OR(AND(N14&lt;&gt;"",N14&lt;0.95),AND(O14&lt;&gt;"",O14&lt;0.2),AND(M14&lt;&gt;"",M14&lt;14),AND(L14&lt;&gt;"",L14&lt;2.5)),"红灯",IF(OR(H14&lt;0,AND(L14&lt;&gt;"",L14&lt;3.2),AND(P14&lt;&gt;"",P14&lt;0.95)),"黄灯","绿灯")))</x:f>
        <x:v>待录入</x:v>
      </x:c>
      <x:c r="R14" s="21"/>
      <x:c r="S14" s="21"/>
      <x:c r="T14" s="21"/>
    </x:row>
    <x:row r="15">
      <x:c r="A15" s="27" t="n">
        <x:v>46244</x:v>
      </x:c>
      <x:c r="B15" s="19" t="str">
        <x:v>周一</x:v>
      </x:c>
      <x:c r="C15" s="19" t="str">
        <x:v>W2</x:v>
      </x:c>
      <x:c r="D15" s="19" t="n">
        <x:v>5</x:v>
      </x:c>
      <x:c r="E15" s="19" t="n">
        <x:v>45</x:v>
      </x:c>
      <x:c r="F15" s="21"/>
      <x:c r="G15" s="19" t="str">
        <x:f>IF(F15="","",SUM($F$6:F15))</x:f>
      </x:c>
      <x:c r="H15" s="19" t="str">
        <x:f>IF(G15="","",G15-E15)</x:f>
      </x:c>
      <x:c r="I15" s="37"/>
      <x:c r="J15" s="37"/>
      <x:c r="K15" s="21"/>
      <x:c r="L15" s="38"/>
      <x:c r="M15" s="21"/>
      <x:c r="N15" s="22"/>
      <x:c r="O15" s="22"/>
      <x:c r="P15" s="22"/>
      <x:c r="Q15" s="19" t="str">
        <x:f>IF(F15="","待录入",IF(OR(AND(N15&lt;&gt;"",N15&lt;0.95),AND(O15&lt;&gt;"",O15&lt;0.2),AND(M15&lt;&gt;"",M15&lt;14),AND(L15&lt;&gt;"",L15&lt;2.5)),"红灯",IF(OR(H15&lt;0,AND(L15&lt;&gt;"",L15&lt;3.2),AND(P15&lt;&gt;"",P15&lt;0.95)),"黄灯","绿灯")))</x:f>
        <x:v>待录入</x:v>
      </x:c>
      <x:c r="R15" s="21"/>
      <x:c r="S15" s="21"/>
      <x:c r="T15" s="21"/>
    </x:row>
    <x:row r="16">
      <x:c r="A16" s="27" t="n">
        <x:v>46245</x:v>
      </x:c>
      <x:c r="B16" s="19" t="str">
        <x:v>周二</x:v>
      </x:c>
      <x:c r="C16" s="19" t="str">
        <x:v>W2</x:v>
      </x:c>
      <x:c r="D16" s="19" t="n">
        <x:v>5</x:v>
      </x:c>
      <x:c r="E16" s="19" t="n">
        <x:v>50</x:v>
      </x:c>
      <x:c r="F16" s="21"/>
      <x:c r="G16" s="19" t="str">
        <x:f>IF(F16="","",SUM($F$6:F16))</x:f>
      </x:c>
      <x:c r="H16" s="19" t="str">
        <x:f>IF(G16="","",G16-E16)</x:f>
      </x:c>
      <x:c r="I16" s="37"/>
      <x:c r="J16" s="37"/>
      <x:c r="K16" s="21"/>
      <x:c r="L16" s="38"/>
      <x:c r="M16" s="21"/>
      <x:c r="N16" s="22"/>
      <x:c r="O16" s="22"/>
      <x:c r="P16" s="22"/>
      <x:c r="Q16" s="19" t="str">
        <x:f>IF(F16="","待录入",IF(OR(AND(N16&lt;&gt;"",N16&lt;0.95),AND(O16&lt;&gt;"",O16&lt;0.2),AND(M16&lt;&gt;"",M16&lt;14),AND(L16&lt;&gt;"",L16&lt;2.5)),"红灯",IF(OR(H16&lt;0,AND(L16&lt;&gt;"",L16&lt;3.2),AND(P16&lt;&gt;"",P16&lt;0.95)),"黄灯","绿灯")))</x:f>
        <x:v>待录入</x:v>
      </x:c>
      <x:c r="R16" s="21"/>
      <x:c r="S16" s="21"/>
      <x:c r="T16" s="21"/>
    </x:row>
    <x:row r="17">
      <x:c r="A17" s="27" t="n">
        <x:v>46246</x:v>
      </x:c>
      <x:c r="B17" s="19" t="str">
        <x:v>周三</x:v>
      </x:c>
      <x:c r="C17" s="19" t="str">
        <x:v>W2</x:v>
      </x:c>
      <x:c r="D17" s="19" t="n">
        <x:v>5</x:v>
      </x:c>
      <x:c r="E17" s="19" t="n">
        <x:v>55</x:v>
      </x:c>
      <x:c r="F17" s="21"/>
      <x:c r="G17" s="19" t="str">
        <x:f>IF(F17="","",SUM($F$6:F17))</x:f>
      </x:c>
      <x:c r="H17" s="19" t="str">
        <x:f>IF(G17="","",G17-E17)</x:f>
      </x:c>
      <x:c r="I17" s="37"/>
      <x:c r="J17" s="37"/>
      <x:c r="K17" s="21"/>
      <x:c r="L17" s="38"/>
      <x:c r="M17" s="21"/>
      <x:c r="N17" s="22"/>
      <x:c r="O17" s="22"/>
      <x:c r="P17" s="22"/>
      <x:c r="Q17" s="19" t="str">
        <x:f>IF(F17="","待录入",IF(OR(AND(N17&lt;&gt;"",N17&lt;0.95),AND(O17&lt;&gt;"",O17&lt;0.2),AND(M17&lt;&gt;"",M17&lt;14),AND(L17&lt;&gt;"",L17&lt;2.5)),"红灯",IF(OR(H17&lt;0,AND(L17&lt;&gt;"",L17&lt;3.2),AND(P17&lt;&gt;"",P17&lt;0.95)),"黄灯","绿灯")))</x:f>
        <x:v>待录入</x:v>
      </x:c>
      <x:c r="R17" s="21"/>
      <x:c r="S17" s="21"/>
      <x:c r="T17" s="21"/>
    </x:row>
    <x:row r="18">
      <x:c r="A18" s="27" t="n">
        <x:v>46247</x:v>
      </x:c>
      <x:c r="B18" s="19" t="str">
        <x:v>周四</x:v>
      </x:c>
      <x:c r="C18" s="19" t="str">
        <x:v>W2</x:v>
      </x:c>
      <x:c r="D18" s="19" t="n">
        <x:v>5</x:v>
      </x:c>
      <x:c r="E18" s="19" t="n">
        <x:v>60</x:v>
      </x:c>
      <x:c r="F18" s="21"/>
      <x:c r="G18" s="19" t="str">
        <x:f>IF(F18="","",SUM($F$6:F18))</x:f>
      </x:c>
      <x:c r="H18" s="19" t="str">
        <x:f>IF(G18="","",G18-E18)</x:f>
      </x:c>
      <x:c r="I18" s="37"/>
      <x:c r="J18" s="37"/>
      <x:c r="K18" s="21"/>
      <x:c r="L18" s="38"/>
      <x:c r="M18" s="21"/>
      <x:c r="N18" s="22"/>
      <x:c r="O18" s="22"/>
      <x:c r="P18" s="22"/>
      <x:c r="Q18" s="19" t="str">
        <x:f>IF(F18="","待录入",IF(OR(AND(N18&lt;&gt;"",N18&lt;0.95),AND(O18&lt;&gt;"",O18&lt;0.2),AND(M18&lt;&gt;"",M18&lt;14),AND(L18&lt;&gt;"",L18&lt;2.5)),"红灯",IF(OR(H18&lt;0,AND(L18&lt;&gt;"",L18&lt;3.2),AND(P18&lt;&gt;"",P18&lt;0.95)),"黄灯","绿灯")))</x:f>
        <x:v>待录入</x:v>
      </x:c>
      <x:c r="R18" s="21"/>
      <x:c r="S18" s="21"/>
      <x:c r="T18" s="21"/>
    </x:row>
    <x:row r="19">
      <x:c r="A19" s="27" t="n">
        <x:v>46248</x:v>
      </x:c>
      <x:c r="B19" s="19" t="str">
        <x:v>周五</x:v>
      </x:c>
      <x:c r="C19" s="19" t="str">
        <x:v>W2</x:v>
      </x:c>
      <x:c r="D19" s="19" t="n">
        <x:v>5</x:v>
      </x:c>
      <x:c r="E19" s="19" t="n">
        <x:v>65</x:v>
      </x:c>
      <x:c r="F19" s="21"/>
      <x:c r="G19" s="19" t="str">
        <x:f>IF(F19="","",SUM($F$6:F19))</x:f>
      </x:c>
      <x:c r="H19" s="19" t="str">
        <x:f>IF(G19="","",G19-E19)</x:f>
      </x:c>
      <x:c r="I19" s="37"/>
      <x:c r="J19" s="37"/>
      <x:c r="K19" s="21"/>
      <x:c r="L19" s="38"/>
      <x:c r="M19" s="21"/>
      <x:c r="N19" s="22"/>
      <x:c r="O19" s="22"/>
      <x:c r="P19" s="22"/>
      <x:c r="Q19" s="19" t="str">
        <x:f>IF(F19="","待录入",IF(OR(AND(N19&lt;&gt;"",N19&lt;0.95),AND(O19&lt;&gt;"",O19&lt;0.2),AND(M19&lt;&gt;"",M19&lt;14),AND(L19&lt;&gt;"",L19&lt;2.5)),"红灯",IF(OR(H19&lt;0,AND(L19&lt;&gt;"",L19&lt;3.2),AND(P19&lt;&gt;"",P19&lt;0.95)),"黄灯","绿灯")))</x:f>
        <x:v>待录入</x:v>
      </x:c>
      <x:c r="R19" s="21"/>
      <x:c r="S19" s="21"/>
      <x:c r="T19" s="21"/>
    </x:row>
    <x:row r="20">
      <x:c r="A20" s="27" t="n">
        <x:v>46249</x:v>
      </x:c>
      <x:c r="B20" s="19" t="str">
        <x:v>周六</x:v>
      </x:c>
      <x:c r="C20" s="19" t="str">
        <x:v>W3</x:v>
      </x:c>
      <x:c r="D20" s="19" t="n">
        <x:v>5</x:v>
      </x:c>
      <x:c r="E20" s="19" t="n">
        <x:v>70</x:v>
      </x:c>
      <x:c r="F20" s="21"/>
      <x:c r="G20" s="19" t="str">
        <x:f>IF(F20="","",SUM($F$6:F20))</x:f>
      </x:c>
      <x:c r="H20" s="19" t="str">
        <x:f>IF(G20="","",G20-E20)</x:f>
      </x:c>
      <x:c r="I20" s="37"/>
      <x:c r="J20" s="37"/>
      <x:c r="K20" s="21"/>
      <x:c r="L20" s="38"/>
      <x:c r="M20" s="21"/>
      <x:c r="N20" s="22"/>
      <x:c r="O20" s="22"/>
      <x:c r="P20" s="22"/>
      <x:c r="Q20" s="19" t="str">
        <x:f>IF(F20="","待录入",IF(OR(AND(N20&lt;&gt;"",N20&lt;0.95),AND(O20&lt;&gt;"",O20&lt;0.2),AND(M20&lt;&gt;"",M20&lt;14),AND(L20&lt;&gt;"",L20&lt;2.5)),"红灯",IF(OR(H20&lt;0,AND(L20&lt;&gt;"",L20&lt;3.2),AND(P20&lt;&gt;"",P20&lt;0.95)),"黄灯","绿灯")))</x:f>
        <x:v>待录入</x:v>
      </x:c>
      <x:c r="R20" s="21"/>
      <x:c r="S20" s="21"/>
      <x:c r="T20" s="21"/>
    </x:row>
    <x:row r="21">
      <x:c r="A21" s="27" t="n">
        <x:v>46250</x:v>
      </x:c>
      <x:c r="B21" s="19" t="str">
        <x:v>周日</x:v>
      </x:c>
      <x:c r="C21" s="19" t="str">
        <x:v>W3</x:v>
      </x:c>
      <x:c r="D21" s="19" t="n">
        <x:v>5</x:v>
      </x:c>
      <x:c r="E21" s="19" t="n">
        <x:v>75</x:v>
      </x:c>
      <x:c r="F21" s="21"/>
      <x:c r="G21" s="19" t="str">
        <x:f>IF(F21="","",SUM($F$6:F21))</x:f>
      </x:c>
      <x:c r="H21" s="19" t="str">
        <x:f>IF(G21="","",G21-E21)</x:f>
      </x:c>
      <x:c r="I21" s="37"/>
      <x:c r="J21" s="37"/>
      <x:c r="K21" s="21"/>
      <x:c r="L21" s="38"/>
      <x:c r="M21" s="21"/>
      <x:c r="N21" s="22"/>
      <x:c r="O21" s="22"/>
      <x:c r="P21" s="22"/>
      <x:c r="Q21" s="19" t="str">
        <x:f>IF(F21="","待录入",IF(OR(AND(N21&lt;&gt;"",N21&lt;0.95),AND(O21&lt;&gt;"",O21&lt;0.2),AND(M21&lt;&gt;"",M21&lt;14),AND(L21&lt;&gt;"",L21&lt;2.5)),"红灯",IF(OR(H21&lt;0,AND(L21&lt;&gt;"",L21&lt;3.2),AND(P21&lt;&gt;"",P21&lt;0.95)),"黄灯","绿灯")))</x:f>
        <x:v>待录入</x:v>
      </x:c>
      <x:c r="R21" s="21"/>
      <x:c r="S21" s="21"/>
      <x:c r="T21" s="21"/>
    </x:row>
    <x:row r="22">
      <x:c r="A22" s="27" t="n">
        <x:v>46251</x:v>
      </x:c>
      <x:c r="B22" s="19" t="str">
        <x:v>周一</x:v>
      </x:c>
      <x:c r="C22" s="19" t="str">
        <x:v>W3</x:v>
      </x:c>
      <x:c r="D22" s="19" t="n">
        <x:v>6</x:v>
      </x:c>
      <x:c r="E22" s="19" t="n">
        <x:v>81</x:v>
      </x:c>
      <x:c r="F22" s="21"/>
      <x:c r="G22" s="19" t="str">
        <x:f>IF(F22="","",SUM($F$6:F22))</x:f>
      </x:c>
      <x:c r="H22" s="19" t="str">
        <x:f>IF(G22="","",G22-E22)</x:f>
      </x:c>
      <x:c r="I22" s="37"/>
      <x:c r="J22" s="37"/>
      <x:c r="K22" s="21"/>
      <x:c r="L22" s="38"/>
      <x:c r="M22" s="21"/>
      <x:c r="N22" s="22"/>
      <x:c r="O22" s="22"/>
      <x:c r="P22" s="22"/>
      <x:c r="Q22" s="19" t="str">
        <x:f>IF(F22="","待录入",IF(OR(AND(N22&lt;&gt;"",N22&lt;0.95),AND(O22&lt;&gt;"",O22&lt;0.2),AND(M22&lt;&gt;"",M22&lt;14),AND(L22&lt;&gt;"",L22&lt;2.5)),"红灯",IF(OR(H22&lt;0,AND(L22&lt;&gt;"",L22&lt;3.2),AND(P22&lt;&gt;"",P22&lt;0.95)),"黄灯","绿灯")))</x:f>
        <x:v>待录入</x:v>
      </x:c>
      <x:c r="R22" s="21"/>
      <x:c r="S22" s="21"/>
      <x:c r="T22" s="21"/>
    </x:row>
    <x:row r="23">
      <x:c r="A23" s="27" t="n">
        <x:v>46252</x:v>
      </x:c>
      <x:c r="B23" s="19" t="str">
        <x:v>周二</x:v>
      </x:c>
      <x:c r="C23" s="19" t="str">
        <x:v>W3</x:v>
      </x:c>
      <x:c r="D23" s="19" t="n">
        <x:v>6</x:v>
      </x:c>
      <x:c r="E23" s="19" t="n">
        <x:v>87</x:v>
      </x:c>
      <x:c r="F23" s="21"/>
      <x:c r="G23" s="19" t="str">
        <x:f>IF(F23="","",SUM($F$6:F23))</x:f>
      </x:c>
      <x:c r="H23" s="19" t="str">
        <x:f>IF(G23="","",G23-E23)</x:f>
      </x:c>
      <x:c r="I23" s="37"/>
      <x:c r="J23" s="37"/>
      <x:c r="K23" s="21"/>
      <x:c r="L23" s="38"/>
      <x:c r="M23" s="21"/>
      <x:c r="N23" s="22"/>
      <x:c r="O23" s="22"/>
      <x:c r="P23" s="22"/>
      <x:c r="Q23" s="19" t="str">
        <x:f>IF(F23="","待录入",IF(OR(AND(N23&lt;&gt;"",N23&lt;0.95),AND(O23&lt;&gt;"",O23&lt;0.2),AND(M23&lt;&gt;"",M23&lt;14),AND(L23&lt;&gt;"",L23&lt;2.5)),"红灯",IF(OR(H23&lt;0,AND(L23&lt;&gt;"",L23&lt;3.2),AND(P23&lt;&gt;"",P23&lt;0.95)),"黄灯","绿灯")))</x:f>
        <x:v>待录入</x:v>
      </x:c>
      <x:c r="R23" s="21"/>
      <x:c r="S23" s="21"/>
      <x:c r="T23" s="21"/>
    </x:row>
    <x:row r="24">
      <x:c r="A24" s="27" t="n">
        <x:v>46253</x:v>
      </x:c>
      <x:c r="B24" s="19" t="str">
        <x:v>周三</x:v>
      </x:c>
      <x:c r="C24" s="19" t="str">
        <x:v>W3</x:v>
      </x:c>
      <x:c r="D24" s="19" t="n">
        <x:v>6</x:v>
      </x:c>
      <x:c r="E24" s="19" t="n">
        <x:v>93</x:v>
      </x:c>
      <x:c r="F24" s="21"/>
      <x:c r="G24" s="19" t="str">
        <x:f>IF(F24="","",SUM($F$6:F24))</x:f>
      </x:c>
      <x:c r="H24" s="19" t="str">
        <x:f>IF(G24="","",G24-E24)</x:f>
      </x:c>
      <x:c r="I24" s="37"/>
      <x:c r="J24" s="37"/>
      <x:c r="K24" s="21"/>
      <x:c r="L24" s="38"/>
      <x:c r="M24" s="21"/>
      <x:c r="N24" s="22"/>
      <x:c r="O24" s="22"/>
      <x:c r="P24" s="22"/>
      <x:c r="Q24" s="19" t="str">
        <x:f>IF(F24="","待录入",IF(OR(AND(N24&lt;&gt;"",N24&lt;0.95),AND(O24&lt;&gt;"",O24&lt;0.2),AND(M24&lt;&gt;"",M24&lt;14),AND(L24&lt;&gt;"",L24&lt;2.5)),"红灯",IF(OR(H24&lt;0,AND(L24&lt;&gt;"",L24&lt;3.2),AND(P24&lt;&gt;"",P24&lt;0.95)),"黄灯","绿灯")))</x:f>
        <x:v>待录入</x:v>
      </x:c>
      <x:c r="R24" s="21"/>
      <x:c r="S24" s="21"/>
      <x:c r="T24" s="21"/>
    </x:row>
    <x:row r="25">
      <x:c r="A25" s="27" t="n">
        <x:v>46254</x:v>
      </x:c>
      <x:c r="B25" s="19" t="str">
        <x:v>周四</x:v>
      </x:c>
      <x:c r="C25" s="19" t="str">
        <x:v>W3</x:v>
      </x:c>
      <x:c r="D25" s="19" t="n">
        <x:v>6</x:v>
      </x:c>
      <x:c r="E25" s="19" t="n">
        <x:v>99</x:v>
      </x:c>
      <x:c r="F25" s="21"/>
      <x:c r="G25" s="19" t="str">
        <x:f>IF(F25="","",SUM($F$6:F25))</x:f>
      </x:c>
      <x:c r="H25" s="19" t="str">
        <x:f>IF(G25="","",G25-E25)</x:f>
      </x:c>
      <x:c r="I25" s="37"/>
      <x:c r="J25" s="37"/>
      <x:c r="K25" s="21"/>
      <x:c r="L25" s="38"/>
      <x:c r="M25" s="21"/>
      <x:c r="N25" s="22"/>
      <x:c r="O25" s="22"/>
      <x:c r="P25" s="22"/>
      <x:c r="Q25" s="19" t="str">
        <x:f>IF(F25="","待录入",IF(OR(AND(N25&lt;&gt;"",N25&lt;0.95),AND(O25&lt;&gt;"",O25&lt;0.2),AND(M25&lt;&gt;"",M25&lt;14),AND(L25&lt;&gt;"",L25&lt;2.5)),"红灯",IF(OR(H25&lt;0,AND(L25&lt;&gt;"",L25&lt;3.2),AND(P25&lt;&gt;"",P25&lt;0.95)),"黄灯","绿灯")))</x:f>
        <x:v>待录入</x:v>
      </x:c>
      <x:c r="R25" s="21"/>
      <x:c r="S25" s="21"/>
      <x:c r="T25" s="21"/>
    </x:row>
    <x:row r="26">
      <x:c r="A26" s="27" t="n">
        <x:v>46255</x:v>
      </x:c>
      <x:c r="B26" s="19" t="str">
        <x:v>周五</x:v>
      </x:c>
      <x:c r="C26" s="19" t="str">
        <x:v>W3</x:v>
      </x:c>
      <x:c r="D26" s="19" t="n">
        <x:v>6</x:v>
      </x:c>
      <x:c r="E26" s="19" t="n">
        <x:v>105</x:v>
      </x:c>
      <x:c r="F26" s="21"/>
      <x:c r="G26" s="19" t="str">
        <x:f>IF(F26="","",SUM($F$6:F26))</x:f>
      </x:c>
      <x:c r="H26" s="19" t="str">
        <x:f>IF(G26="","",G26-E26)</x:f>
      </x:c>
      <x:c r="I26" s="37"/>
      <x:c r="J26" s="37"/>
      <x:c r="K26" s="21"/>
      <x:c r="L26" s="38"/>
      <x:c r="M26" s="21"/>
      <x:c r="N26" s="22"/>
      <x:c r="O26" s="22"/>
      <x:c r="P26" s="22"/>
      <x:c r="Q26" s="19" t="str">
        <x:f>IF(F26="","待录入",IF(OR(AND(N26&lt;&gt;"",N26&lt;0.95),AND(O26&lt;&gt;"",O26&lt;0.2),AND(M26&lt;&gt;"",M26&lt;14),AND(L26&lt;&gt;"",L26&lt;2.5)),"红灯",IF(OR(H26&lt;0,AND(L26&lt;&gt;"",L26&lt;3.2),AND(P26&lt;&gt;"",P26&lt;0.95)),"黄灯","绿灯")))</x:f>
        <x:v>待录入</x:v>
      </x:c>
      <x:c r="R26" s="21"/>
      <x:c r="S26" s="21"/>
      <x:c r="T26" s="21"/>
    </x:row>
    <x:row r="27">
      <x:c r="A27" s="27" t="n">
        <x:v>46256</x:v>
      </x:c>
      <x:c r="B27" s="19" t="str">
        <x:v>周六</x:v>
      </x:c>
      <x:c r="C27" s="19" t="str">
        <x:v>W4</x:v>
      </x:c>
      <x:c r="D27" s="19" t="n">
        <x:v>4</x:v>
      </x:c>
      <x:c r="E27" s="19" t="n">
        <x:v>109</x:v>
      </x:c>
      <x:c r="F27" s="21"/>
      <x:c r="G27" s="19" t="str">
        <x:f>IF(F27="","",SUM($F$6:F27))</x:f>
      </x:c>
      <x:c r="H27" s="19" t="str">
        <x:f>IF(G27="","",G27-E27)</x:f>
      </x:c>
      <x:c r="I27" s="37"/>
      <x:c r="J27" s="37"/>
      <x:c r="K27" s="21"/>
      <x:c r="L27" s="38"/>
      <x:c r="M27" s="21"/>
      <x:c r="N27" s="22"/>
      <x:c r="O27" s="22"/>
      <x:c r="P27" s="22"/>
      <x:c r="Q27" s="19" t="str">
        <x:f>IF(F27="","待录入",IF(OR(AND(N27&lt;&gt;"",N27&lt;0.95),AND(O27&lt;&gt;"",O27&lt;0.2),AND(M27&lt;&gt;"",M27&lt;14),AND(L27&lt;&gt;"",L27&lt;2.5)),"红灯",IF(OR(H27&lt;0,AND(L27&lt;&gt;"",L27&lt;3.2),AND(P27&lt;&gt;"",P27&lt;0.95)),"黄灯","绿灯")))</x:f>
        <x:v>待录入</x:v>
      </x:c>
      <x:c r="R27" s="21"/>
      <x:c r="S27" s="21"/>
      <x:c r="T27" s="21"/>
    </x:row>
    <x:row r="28">
      <x:c r="A28" s="27" t="n">
        <x:v>46257</x:v>
      </x:c>
      <x:c r="B28" s="19" t="str">
        <x:v>周日</x:v>
      </x:c>
      <x:c r="C28" s="19" t="str">
        <x:v>W4</x:v>
      </x:c>
      <x:c r="D28" s="19" t="n">
        <x:v>4</x:v>
      </x:c>
      <x:c r="E28" s="19" t="n">
        <x:v>113</x:v>
      </x:c>
      <x:c r="F28" s="21"/>
      <x:c r="G28" s="19" t="str">
        <x:f>IF(F28="","",SUM($F$6:F28))</x:f>
      </x:c>
      <x:c r="H28" s="19" t="str">
        <x:f>IF(G28="","",G28-E28)</x:f>
      </x:c>
      <x:c r="I28" s="37"/>
      <x:c r="J28" s="37"/>
      <x:c r="K28" s="21"/>
      <x:c r="L28" s="38"/>
      <x:c r="M28" s="21"/>
      <x:c r="N28" s="22"/>
      <x:c r="O28" s="22"/>
      <x:c r="P28" s="22"/>
      <x:c r="Q28" s="19" t="str">
        <x:f>IF(F28="","待录入",IF(OR(AND(N28&lt;&gt;"",N28&lt;0.95),AND(O28&lt;&gt;"",O28&lt;0.2),AND(M28&lt;&gt;"",M28&lt;14),AND(L28&lt;&gt;"",L28&lt;2.5)),"红灯",IF(OR(H28&lt;0,AND(L28&lt;&gt;"",L28&lt;3.2),AND(P28&lt;&gt;"",P28&lt;0.95)),"黄灯","绿灯")))</x:f>
        <x:v>待录入</x:v>
      </x:c>
      <x:c r="R28" s="21"/>
      <x:c r="S28" s="21"/>
      <x:c r="T28" s="21"/>
    </x:row>
    <x:row r="29">
      <x:c r="A29" s="27" t="n">
        <x:v>46258</x:v>
      </x:c>
      <x:c r="B29" s="19" t="str">
        <x:v>周一</x:v>
      </x:c>
      <x:c r="C29" s="19" t="str">
        <x:v>W4</x:v>
      </x:c>
      <x:c r="D29" s="19" t="n">
        <x:v>5</x:v>
      </x:c>
      <x:c r="E29" s="19" t="n">
        <x:v>118</x:v>
      </x:c>
      <x:c r="F29" s="21"/>
      <x:c r="G29" s="19" t="str">
        <x:f>IF(F29="","",SUM($F$6:F29))</x:f>
      </x:c>
      <x:c r="H29" s="19" t="str">
        <x:f>IF(G29="","",G29-E29)</x:f>
      </x:c>
      <x:c r="I29" s="37"/>
      <x:c r="J29" s="37"/>
      <x:c r="K29" s="21"/>
      <x:c r="L29" s="38"/>
      <x:c r="M29" s="21"/>
      <x:c r="N29" s="22"/>
      <x:c r="O29" s="22"/>
      <x:c r="P29" s="22"/>
      <x:c r="Q29" s="19" t="str">
        <x:f>IF(F29="","待录入",IF(OR(AND(N29&lt;&gt;"",N29&lt;0.95),AND(O29&lt;&gt;"",O29&lt;0.2),AND(M29&lt;&gt;"",M29&lt;14),AND(L29&lt;&gt;"",L29&lt;2.5)),"红灯",IF(OR(H29&lt;0,AND(L29&lt;&gt;"",L29&lt;3.2),AND(P29&lt;&gt;"",P29&lt;0.95)),"黄灯","绿灯")))</x:f>
        <x:v>待录入</x:v>
      </x:c>
      <x:c r="R29" s="21"/>
      <x:c r="S29" s="21"/>
      <x:c r="T29" s="21"/>
    </x:row>
    <x:row r="30">
      <x:c r="A30" s="27" t="n">
        <x:v>46259</x:v>
      </x:c>
      <x:c r="B30" s="19" t="str">
        <x:v>周二</x:v>
      </x:c>
      <x:c r="C30" s="19" t="str">
        <x:v>W4</x:v>
      </x:c>
      <x:c r="D30" s="19" t="n">
        <x:v>4</x:v>
      </x:c>
      <x:c r="E30" s="19" t="n">
        <x:v>122</x:v>
      </x:c>
      <x:c r="F30" s="21"/>
      <x:c r="G30" s="19" t="str">
        <x:f>IF(F30="","",SUM($F$6:F30))</x:f>
      </x:c>
      <x:c r="H30" s="19" t="str">
        <x:f>IF(G30="","",G30-E30)</x:f>
      </x:c>
      <x:c r="I30" s="37"/>
      <x:c r="J30" s="37"/>
      <x:c r="K30" s="21"/>
      <x:c r="L30" s="38"/>
      <x:c r="M30" s="21"/>
      <x:c r="N30" s="22"/>
      <x:c r="O30" s="22"/>
      <x:c r="P30" s="22"/>
      <x:c r="Q30" s="19" t="str">
        <x:f>IF(F30="","待录入",IF(OR(AND(N30&lt;&gt;"",N30&lt;0.95),AND(O30&lt;&gt;"",O30&lt;0.2),AND(M30&lt;&gt;"",M30&lt;14),AND(L30&lt;&gt;"",L30&lt;2.5)),"红灯",IF(OR(H30&lt;0,AND(L30&lt;&gt;"",L30&lt;3.2),AND(P30&lt;&gt;"",P30&lt;0.95)),"黄灯","绿灯")))</x:f>
        <x:v>待录入</x:v>
      </x:c>
      <x:c r="R30" s="21"/>
      <x:c r="S30" s="21"/>
      <x:c r="T30" s="21"/>
    </x:row>
    <x:row r="31">
      <x:c r="A31" s="27" t="n">
        <x:v>46260</x:v>
      </x:c>
      <x:c r="B31" s="19" t="str">
        <x:v>周三</x:v>
      </x:c>
      <x:c r="C31" s="19" t="str">
        <x:v>W4</x:v>
      </x:c>
      <x:c r="D31" s="19" t="n">
        <x:v>4</x:v>
      </x:c>
      <x:c r="E31" s="19" t="n">
        <x:v>126</x:v>
      </x:c>
      <x:c r="F31" s="21"/>
      <x:c r="G31" s="19" t="str">
        <x:f>IF(F31="","",SUM($F$6:F31))</x:f>
      </x:c>
      <x:c r="H31" s="19" t="str">
        <x:f>IF(G31="","",G31-E31)</x:f>
      </x:c>
      <x:c r="I31" s="37"/>
      <x:c r="J31" s="37"/>
      <x:c r="K31" s="21"/>
      <x:c r="L31" s="38"/>
      <x:c r="M31" s="21"/>
      <x:c r="N31" s="22"/>
      <x:c r="O31" s="22"/>
      <x:c r="P31" s="22"/>
      <x:c r="Q31" s="19" t="str">
        <x:f>IF(F31="","待录入",IF(OR(AND(N31&lt;&gt;"",N31&lt;0.95),AND(O31&lt;&gt;"",O31&lt;0.2),AND(M31&lt;&gt;"",M31&lt;14),AND(L31&lt;&gt;"",L31&lt;2.5)),"红灯",IF(OR(H31&lt;0,AND(L31&lt;&gt;"",L31&lt;3.2),AND(P31&lt;&gt;"",P31&lt;0.95)),"黄灯","绿灯")))</x:f>
        <x:v>待录入</x:v>
      </x:c>
      <x:c r="R31" s="21"/>
      <x:c r="S31" s="21"/>
      <x:c r="T31" s="21"/>
    </x:row>
    <x:row r="32">
      <x:c r="A32" s="27" t="n">
        <x:v>46261</x:v>
      </x:c>
      <x:c r="B32" s="19" t="str">
        <x:v>周四</x:v>
      </x:c>
      <x:c r="C32" s="19" t="str">
        <x:v>W4</x:v>
      </x:c>
      <x:c r="D32" s="19" t="n">
        <x:v>5</x:v>
      </x:c>
      <x:c r="E32" s="19" t="n">
        <x:v>131</x:v>
      </x:c>
      <x:c r="F32" s="21"/>
      <x:c r="G32" s="19" t="str">
        <x:f>IF(F32="","",SUM($F$6:F32))</x:f>
      </x:c>
      <x:c r="H32" s="19" t="str">
        <x:f>IF(G32="","",G32-E32)</x:f>
      </x:c>
      <x:c r="I32" s="37"/>
      <x:c r="J32" s="37"/>
      <x:c r="K32" s="21"/>
      <x:c r="L32" s="38"/>
      <x:c r="M32" s="21"/>
      <x:c r="N32" s="22"/>
      <x:c r="O32" s="22"/>
      <x:c r="P32" s="22"/>
      <x:c r="Q32" s="19" t="str">
        <x:f>IF(F32="","待录入",IF(OR(AND(N32&lt;&gt;"",N32&lt;0.95),AND(O32&lt;&gt;"",O32&lt;0.2),AND(M32&lt;&gt;"",M32&lt;14),AND(L32&lt;&gt;"",L32&lt;2.5)),"红灯",IF(OR(H32&lt;0,AND(L32&lt;&gt;"",L32&lt;3.2),AND(P32&lt;&gt;"",P32&lt;0.95)),"黄灯","绿灯")))</x:f>
        <x:v>待录入</x:v>
      </x:c>
      <x:c r="R32" s="21"/>
      <x:c r="S32" s="21"/>
      <x:c r="T32" s="21"/>
    </x:row>
    <x:row r="33">
      <x:c r="A33" s="27" t="n">
        <x:v>46262</x:v>
      </x:c>
      <x:c r="B33" s="19" t="str">
        <x:v>周五</x:v>
      </x:c>
      <x:c r="C33" s="19" t="str">
        <x:v>W4</x:v>
      </x:c>
      <x:c r="D33" s="19" t="n">
        <x:v>4</x:v>
      </x:c>
      <x:c r="E33" s="19" t="n">
        <x:v>135</x:v>
      </x:c>
      <x:c r="F33" s="21"/>
      <x:c r="G33" s="19" t="str">
        <x:f>IF(F33="","",SUM($F$6:F33))</x:f>
      </x:c>
      <x:c r="H33" s="19" t="str">
        <x:f>IF(G33="","",G33-E33)</x:f>
      </x:c>
      <x:c r="I33" s="37"/>
      <x:c r="J33" s="37"/>
      <x:c r="K33" s="21"/>
      <x:c r="L33" s="38"/>
      <x:c r="M33" s="21"/>
      <x:c r="N33" s="22"/>
      <x:c r="O33" s="22"/>
      <x:c r="P33" s="22"/>
      <x:c r="Q33" s="19" t="str">
        <x:f>IF(F33="","待录入",IF(OR(AND(N33&lt;&gt;"",N33&lt;0.95),AND(O33&lt;&gt;"",O33&lt;0.2),AND(M33&lt;&gt;"",M33&lt;14),AND(L33&lt;&gt;"",L33&lt;2.5)),"红灯",IF(OR(H33&lt;0,AND(L33&lt;&gt;"",L33&lt;3.2),AND(P33&lt;&gt;"",P33&lt;0.95)),"黄灯","绿灯")))</x:f>
        <x:v>待录入</x:v>
      </x:c>
      <x:c r="R33" s="21"/>
      <x:c r="S33" s="21"/>
      <x:c r="T33" s="21"/>
    </x:row>
    <x:row r="34">
      <x:c r="A34" s="27" t="n">
        <x:v>46263</x:v>
      </x:c>
      <x:c r="B34" s="19" t="str">
        <x:v>周六</x:v>
      </x:c>
      <x:c r="C34" s="19" t="str">
        <x:v>W4</x:v>
      </x:c>
      <x:c r="D34" s="19" t="n">
        <x:v>4</x:v>
      </x:c>
      <x:c r="E34" s="19" t="n">
        <x:v>139</x:v>
      </x:c>
      <x:c r="F34" s="21"/>
      <x:c r="G34" s="19" t="str">
        <x:f>IF(F34="","",SUM($F$6:F34))</x:f>
      </x:c>
      <x:c r="H34" s="19" t="str">
        <x:f>IF(G34="","",G34-E34)</x:f>
      </x:c>
      <x:c r="I34" s="37"/>
      <x:c r="J34" s="37"/>
      <x:c r="K34" s="21"/>
      <x:c r="L34" s="38"/>
      <x:c r="M34" s="21"/>
      <x:c r="N34" s="22"/>
      <x:c r="O34" s="22"/>
      <x:c r="P34" s="22"/>
      <x:c r="Q34" s="19" t="str">
        <x:f>IF(F34="","待录入",IF(OR(AND(N34&lt;&gt;"",N34&lt;0.95),AND(O34&lt;&gt;"",O34&lt;0.2),AND(M34&lt;&gt;"",M34&lt;14),AND(L34&lt;&gt;"",L34&lt;2.5)),"红灯",IF(OR(H34&lt;0,AND(L34&lt;&gt;"",L34&lt;3.2),AND(P34&lt;&gt;"",P34&lt;0.95)),"黄灯","绿灯")))</x:f>
        <x:v>待录入</x:v>
      </x:c>
      <x:c r="R34" s="21"/>
      <x:c r="S34" s="21"/>
      <x:c r="T34" s="21"/>
    </x:row>
    <x:row r="35">
      <x:c r="A35" s="27" t="n">
        <x:v>46264</x:v>
      </x:c>
      <x:c r="B35" s="19" t="str">
        <x:v>周日</x:v>
      </x:c>
      <x:c r="C35" s="19" t="str">
        <x:v>W4</x:v>
      </x:c>
      <x:c r="D35" s="19" t="n">
        <x:v>5</x:v>
      </x:c>
      <x:c r="E35" s="19" t="n">
        <x:v>144</x:v>
      </x:c>
      <x:c r="F35" s="21"/>
      <x:c r="G35" s="19" t="str">
        <x:f>IF(F35="","",SUM($F$6:F35))</x:f>
      </x:c>
      <x:c r="H35" s="19" t="str">
        <x:f>IF(G35="","",G35-E35)</x:f>
      </x:c>
      <x:c r="I35" s="37"/>
      <x:c r="J35" s="37"/>
      <x:c r="K35" s="21"/>
      <x:c r="L35" s="38"/>
      <x:c r="M35" s="21"/>
      <x:c r="N35" s="22"/>
      <x:c r="O35" s="22"/>
      <x:c r="P35" s="22"/>
      <x:c r="Q35" s="19" t="str">
        <x:f>IF(F35="","待录入",IF(OR(AND(N35&lt;&gt;"",N35&lt;0.95),AND(O35&lt;&gt;"",O35&lt;0.2),AND(M35&lt;&gt;"",M35&lt;14),AND(L35&lt;&gt;"",L35&lt;2.5)),"红灯",IF(OR(H35&lt;0,AND(L35&lt;&gt;"",L35&lt;3.2),AND(P35&lt;&gt;"",P35&lt;0.95)),"黄灯","绿灯")))</x:f>
        <x:v>待录入</x:v>
      </x:c>
      <x:c r="R35" s="21"/>
      <x:c r="S35" s="21"/>
      <x:c r="T35" s="21"/>
    </x:row>
    <x:row r="36">
      <x:c r="A36" s="27" t="n">
        <x:v>46265</x:v>
      </x:c>
      <x:c r="B36" s="19" t="str">
        <x:v>周一</x:v>
      </x:c>
      <x:c r="C36" s="19" t="str">
        <x:v>W4</x:v>
      </x:c>
      <x:c r="D36" s="19" t="n">
        <x:v>6</x:v>
      </x:c>
      <x:c r="E36" s="19" t="n">
        <x:v>150</x:v>
      </x:c>
      <x:c r="F36" s="21"/>
      <x:c r="G36" s="19" t="str">
        <x:f>IF(F36="","",SUM($F$6:F36))</x:f>
      </x:c>
      <x:c r="H36" s="19" t="str">
        <x:f>IF(G36="","",G36-E36)</x:f>
      </x:c>
      <x:c r="I36" s="37"/>
      <x:c r="J36" s="37"/>
      <x:c r="K36" s="21"/>
      <x:c r="L36" s="38"/>
      <x:c r="M36" s="21"/>
      <x:c r="N36" s="22"/>
      <x:c r="O36" s="22"/>
      <x:c r="P36" s="22"/>
      <x:c r="Q36" s="19" t="str">
        <x:f>IF(F36="","待录入",IF(OR(AND(N36&lt;&gt;"",N36&lt;0.95),AND(O36&lt;&gt;"",O36&lt;0.2),AND(M36&lt;&gt;"",M36&lt;14),AND(L36&lt;&gt;"",L36&lt;2.5)),"红灯",IF(OR(H36&lt;0,AND(L36&lt;&gt;"",L36&lt;3.2),AND(P36&lt;&gt;"",P36&lt;0.95)),"黄灯","绿灯")))</x:f>
        <x:v>待录入</x:v>
      </x:c>
      <x:c r="R36" s="21"/>
      <x:c r="S36" s="21"/>
      <x:c r="T36" s="21"/>
    </x:row>
  </x:sheetData>
  <x:mergeCells>
    <x:mergeCell ref="A1:T1"/>
    <x:mergeCell ref="A2:T2"/>
  </x:mergeCells>
  <x:conditionalFormatting sqref="Q6:Q36">
    <x:cfRule type="containsText" dxfId="0" priority="1" operator="containsText" text="红灯"/>
    <x:cfRule type="containsText" dxfId="1" priority="2" operator="containsText" text="黄灯"/>
    <x:cfRule type="containsText" dxfId="2" priority="3" operator="containsText" text="绿灯"/>
    <x:cfRule type="containsText" dxfId="3" priority="4" operator="containsText" text="待录入"/>
  </x:conditionalFormatting>
  <x:pageMargins left="0.7" right="0.7" top="0.75" bottom="0.75" header="0.3" footer="0.3"/>
  <x:tableParts count="1">
    <x:tablePart xmlns:r="http://schemas.openxmlformats.org/officeDocument/2006/relationships" r:id="Rb3adf13a41df41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1" hidden="0" customWidth="1"/>
    <x:col min="5" max="5" width="43" hidden="0" customWidth="1"/>
    <x:col min="6" max="6" width="43" hidden="0" customWidth="1"/>
    <x:col min="7" max="7" width="32" hidden="0" customWidth="1"/>
    <x:col min="8" max="8" width="12" hidden="0" customWidth="1"/>
    <x:col min="9" max="9" width="20" hidden="0" customWidth="1"/>
  </x:cols>
  <x:sheetData>
    <x:row r="1" ht="34" customHeight="1">
      <x:c r="A1" s="4" t="str">
        <x:v>YB店｜2026年8月 每日任务</x:v>
      </x:c>
      <x:c r="B1" s="4" t="str">
        <x:v>YB店｜2026年8月 每日任务</x:v>
      </x:c>
      <x:c r="C1" s="4" t="str">
        <x:v>YB店｜2026年8月 每日任务</x:v>
      </x:c>
      <x:c r="D1" s="4" t="str">
        <x:v>YB店｜2026年8月 每日任务</x:v>
      </x:c>
      <x:c r="E1" s="4" t="str">
        <x:v>YB店｜2026年8月 每日任务</x:v>
      </x:c>
      <x:c r="F1" s="4" t="str">
        <x:v>YB店｜2026年8月 每日任务</x:v>
      </x:c>
      <x:c r="G1" s="4" t="str">
        <x:v>YB店｜2026年8月 每日任务</x:v>
      </x:c>
      <x:c r="H1" s="4" t="str">
        <x:v>YB店｜2026年8月 每日任务</x:v>
      </x:c>
      <x:c r="I1" s="4" t="str">
        <x:v>YB店｜2026年8月 每日任务</x:v>
      </x:c>
    </x:row>
    <x:row r="2" ht="24" customHeight="1">
      <x:c r="A2" s="7" t="str">
        <x:v>31天任务已预填；所有完成状态都必须附Operation ID与证据。</x:v>
      </x:c>
      <x:c r="B2" s="7" t="str">
        <x:v>31天任务已预填；所有完成状态都必须附Operation ID与证据。</x:v>
      </x:c>
      <x:c r="C2" s="7" t="str">
        <x:v>31天任务已预填；所有完成状态都必须附Operation ID与证据。</x:v>
      </x:c>
      <x:c r="D2" s="7" t="str">
        <x:v>31天任务已预填；所有完成状态都必须附Operation ID与证据。</x:v>
      </x:c>
      <x:c r="E2" s="7" t="str">
        <x:v>31天任务已预填；所有完成状态都必须附Operation ID与证据。</x:v>
      </x:c>
      <x:c r="F2" s="7" t="str">
        <x:v>31天任务已预填；所有完成状态都必须附Operation ID与证据。</x:v>
      </x:c>
      <x:c r="G2" s="7" t="str">
        <x:v>31天任务已预填；所有完成状态都必须附Operation ID与证据。</x:v>
      </x:c>
      <x:c r="H2" s="7" t="str">
        <x:v>31天任务已预填；所有完成状态都必须附Operation ID与证据。</x:v>
      </x:c>
      <x:c r="I2" s="7" t="str">
        <x:v>31天任务已预填；所有完成状态都必须附Operation ID与证据。</x:v>
      </x:c>
    </x:row>
    <x:row r="5">
      <x:c r="A5" s="12" t="str">
        <x:v>日期</x:v>
      </x:c>
      <x:c r="B5" s="12" t="str">
        <x:v>星期</x:v>
      </x:c>
      <x:c r="C5" s="12" t="str">
        <x:v>周次</x:v>
      </x:c>
      <x:c r="D5" s="12" t="str">
        <x:v>目标Units</x:v>
      </x:c>
      <x:c r="E5" s="12" t="str">
        <x:v>AI / Codex负责</x:v>
      </x:c>
      <x:c r="F5" s="12" t="str">
        <x:v>店铺负责人负责</x:v>
      </x:c>
      <x:c r="G5" s="12" t="str">
        <x:v>当天必须留档</x:v>
      </x:c>
      <x:c r="H5" s="12" t="str">
        <x:v>状态</x:v>
      </x:c>
      <x:c r="I5" s="12" t="str">
        <x:v>关联Operation ID</x:v>
      </x:c>
    </x:row>
    <x:row r="6">
      <x:c r="A6" s="26" t="n">
        <x:v>46235</x:v>
      </x:c>
      <x:c r="B6" s="18" t="str">
        <x:v>周六</x:v>
      </x:c>
      <x:c r="C6" s="18" t="str">
        <x:v>W1</x:v>
      </x:c>
      <x:c r="D6" s="18" t="n">
        <x:v>4</x:v>
      </x:c>
      <x:c r="E6" s="18" t="str">
        <x:v>启动基线：核对数据源时间、归因字段、预算池与Offer状态；生成Day 1风险清单。</x:v>
      </x:c>
      <x:c r="F6" s="18" t="str">
        <x:v>确认核心Part为Live且库存≥14天；仅开启已审批基础池与合格Offer；保存上线前截图。</x:v>
      </x:c>
      <x:c r="G6" s="18" t="str">
        <x:v>数据源清单、Campaign快照、Offer ID、Operation ID</x:v>
      </x:c>
      <x:c r="H6" s="20" t="str">
        <x:v>待开始</x:v>
      </x:c>
      <x:c r="I6" s="20" t="str"/>
    </x:row>
    <x:row r="7">
      <x:c r="A7" s="27" t="n">
        <x:v>46236</x:v>
      </x:c>
      <x:c r="B7" s="19" t="str">
        <x:v>周日</x:v>
      </x:c>
      <x:c r="C7" s="19" t="str">
        <x:v>W1</x:v>
      </x:c>
      <x:c r="D7" s="19" t="n">
        <x:v>4</x:v>
      </x:c>
      <x:c r="E7" s="19" t="str">
        <x:v>检查首日Units/广告/Offer是否重复归因；标记缺失Order ID和异常日耗。</x:v>
      </x:c>
      <x:c r="F7" s="19" t="str">
        <x:v>补齐Order ID、Owed Amount、库存与毛利；非赢家日耗&gt;120%则降Cap。</x:v>
      </x:c>
      <x:c r="G7" s="19" t="str">
        <x:v>首日对账、异常处理证据</x:v>
      </x:c>
      <x:c r="H7" s="21" t="str">
        <x:v>待开始</x:v>
      </x:c>
      <x:c r="I7" s="21" t="str"/>
    </x:row>
    <x:row r="8">
      <x:c r="A8" s="27" t="n">
        <x:v>46237</x:v>
      </x:c>
      <x:c r="B8" s="19" t="str">
        <x:v>周一</x:v>
      </x:c>
      <x:c r="C8" s="19" t="str">
        <x:v>W1</x:v>
      </x:c>
      <x:c r="D8" s="19" t="n">
        <x:v>4</x:v>
      </x:c>
      <x:c r="E8" s="19" t="str">
        <x:v>生成W1资源分配建议与未来14天库存缺口。</x:v>
      </x:c>
      <x:c r="F8" s="19" t="str">
        <x:v>周一分配会：确认DMOM1021/1022/1019优先级、执行人和库存承诺。</x:v>
      </x:c>
      <x:c r="G8" s="19" t="str">
        <x:v>周任务单、库存承诺、负责人</x:v>
      </x:c>
      <x:c r="H8" s="21" t="str">
        <x:v>待开始</x:v>
      </x:c>
      <x:c r="I8" s="21" t="str"/>
    </x:row>
    <x:row r="9">
      <x:c r="A9" s="27" t="n">
        <x:v>46238</x:v>
      </x:c>
      <x:c r="B9" s="19" t="str">
        <x:v>周二</x:v>
      </x:c>
      <x:c r="C9" s="19" t="str">
        <x:v>W1</x:v>
      </x:c>
      <x:c r="D9" s="19" t="n">
        <x:v>4</x:v>
      </x:c>
      <x:c r="E9" s="19" t="str">
        <x:v>诊断DMOM1021曝光→CTR→CVR与Keyword/Product贡献。</x:v>
      </x:c>
      <x:c r="F9" s="19" t="str">
        <x:v>只调整一个已审批变量；保存前后Bid/Cap和商品状态截图。</x:v>
      </x:c>
      <x:c r="G9" s="19" t="str">
        <x:v>DMOM1021实验卡</x:v>
      </x:c>
      <x:c r="H9" s="21" t="str">
        <x:v>待开始</x:v>
      </x:c>
      <x:c r="I9" s="21" t="str"/>
    </x:row>
    <x:row r="10">
      <x:c r="A10" s="27" t="n">
        <x:v>46239</x:v>
      </x:c>
      <x:c r="B10" s="19" t="str">
        <x:v>周三</x:v>
      </x:c>
      <x:c r="C10" s="19" t="str">
        <x:v>W1</x:v>
      </x:c>
      <x:c r="D10" s="19" t="n">
        <x:v>4</x:v>
      </x:c>
      <x:c r="E10" s="19" t="str">
        <x:v>核对DMOM1022带连字符Part映射、广告归属和缺口。</x:v>
      </x:c>
      <x:c r="F10" s="19" t="str">
        <x:v>后台确认Live Part与YB库存归属；未确认不得放量。</x:v>
      </x:c>
      <x:c r="G10" s="19" t="str">
        <x:v>映射证据、库存节点</x:v>
      </x:c>
      <x:c r="H10" s="21" t="str">
        <x:v>待开始</x:v>
      </x:c>
      <x:c r="I10" s="21" t="str"/>
    </x:row>
    <x:row r="11">
      <x:c r="A11" s="27" t="n">
        <x:v>46240</x:v>
      </x:c>
      <x:c r="B11" s="19" t="str">
        <x:v>周四</x:v>
      </x:c>
      <x:c r="C11" s="19" t="str">
        <x:v>W1</x:v>
      </x:c>
      <x:c r="D11" s="19" t="n">
        <x:v>5</x:v>
      </x:c>
      <x:c r="E11" s="19" t="str">
        <x:v>评估DMOM1019 Keyword效率及Product发现流量是否挤占预算。</x:v>
      </x:c>
      <x:c r="F11" s="19" t="str">
        <x:v>保留高效词；零单组达到20点击才暂停；不足样本锁Cap观察。</x:v>
      </x:c>
      <x:c r="G11" s="19" t="str">
        <x:v>关键词决策日志</x:v>
      </x:c>
      <x:c r="H11" s="21" t="str">
        <x:v>待开始</x:v>
      </x:c>
      <x:c r="I11" s="21" t="str"/>
    </x:row>
    <x:row r="12">
      <x:c r="A12" s="27" t="n">
        <x:v>46241</x:v>
      </x:c>
      <x:c r="B12" s="19" t="str">
        <x:v>周五</x:v>
      </x:c>
      <x:c r="C12" s="19" t="str">
        <x:v>W1</x:v>
      </x:c>
      <x:c r="D12" s="19" t="n">
        <x:v>5</x:v>
      </x:c>
      <x:c r="E12" s="19" t="str">
        <x:v>输出W1 Scorecard、150预测、Gate 1建议和未闭环任务。</x:v>
      </x:c>
      <x:c r="F12" s="19" t="str">
        <x:v>20分钟周会：验收30 Units与广告/库存护栏；审批继续、回退或延后Gate 1。</x:v>
      </x:c>
      <x:c r="G12" s="19" t="str">
        <x:v>W1周报、审批记录、复盘日</x:v>
      </x:c>
      <x:c r="H12" s="21" t="str">
        <x:v>待开始</x:v>
      </x:c>
      <x:c r="I12" s="21" t="str"/>
    </x:row>
    <x:row r="13">
      <x:c r="A13" s="27" t="n">
        <x:v>46242</x:v>
      </x:c>
      <x:c r="B13" s="19" t="str">
        <x:v>周六</x:v>
      </x:c>
      <x:c r="C13" s="19" t="str">
        <x:v>W2</x:v>
      </x:c>
      <x:c r="D13" s="19" t="n">
        <x:v>5</x:v>
      </x:c>
      <x:c r="E13" s="19" t="str">
        <x:v>按W1证据生成Gate 1执行清单；不满足时输出恢复路径。</x:v>
      </x:c>
      <x:c r="F13" s="19" t="str">
        <x:v>满足全部条件才批准最多$350；赢家Cap单次最多+20%。</x:v>
      </x:c>
      <x:c r="G13" s="19" t="str">
        <x:v>Gate 1签字、参数快照</x:v>
      </x:c>
      <x:c r="H13" s="21" t="str">
        <x:v>待开始</x:v>
      </x:c>
      <x:c r="I13" s="21" t="str"/>
    </x:row>
    <x:row r="14">
      <x:c r="A14" s="27" t="n">
        <x:v>46243</x:v>
      </x:c>
      <x:c r="B14" s="19" t="str">
        <x:v>周日</x:v>
      </x:c>
      <x:c r="C14" s="19" t="str">
        <x:v>W2</x:v>
      </x:c>
      <x:c r="D14" s="19" t="n">
        <x:v>5</x:v>
      </x:c>
      <x:c r="E14" s="19" t="str">
        <x:v>检查Offer成交、AOV、Owed Amount和毛利，不用单日成交判定增量。</x:v>
      </x:c>
      <x:c r="F14" s="19" t="str">
        <x:v>核对Eligible Parts与真实组合发货成本；毛利&lt;20%立即结束对应Offer。</x:v>
      </x:c>
      <x:c r="G14" s="19" t="str">
        <x:v>Offer利润核验</x:v>
      </x:c>
      <x:c r="H14" s="21" t="str">
        <x:v>待开始</x:v>
      </x:c>
      <x:c r="I14" s="21" t="str"/>
    </x:row>
    <x:row r="15">
      <x:c r="A15" s="27" t="n">
        <x:v>46244</x:v>
      </x:c>
      <x:c r="B15" s="19" t="str">
        <x:v>周一</x:v>
      </x:c>
      <x:c r="C15" s="19" t="str">
        <x:v>W2</x:v>
      </x:c>
      <x:c r="D15" s="19" t="n">
        <x:v>5</x:v>
      </x:c>
      <x:c r="E15" s="19" t="str">
        <x:v>重算各SKU剩余目标、月末预测与资源迁移建议。</x:v>
      </x:c>
      <x:c r="F15" s="19" t="str">
        <x:v>周一分配会：赢家+20%上限，输家-20%或暂停；确认14天库存。</x:v>
      </x:c>
      <x:c r="G15" s="19" t="str">
        <x:v>W2资源分配单</x:v>
      </x:c>
      <x:c r="H15" s="21" t="str">
        <x:v>待开始</x:v>
      </x:c>
      <x:c r="I15" s="21" t="str"/>
    </x:row>
    <x:row r="16">
      <x:c r="A16" s="27" t="n">
        <x:v>46245</x:v>
      </x:c>
      <x:c r="B16" s="19" t="str">
        <x:v>周二</x:v>
      </x:c>
      <x:c r="C16" s="19" t="str">
        <x:v>W2</x:v>
      </x:c>
      <x:c r="D16" s="19" t="n">
        <x:v>5</x:v>
      </x:c>
      <x:c r="E16" s="19" t="str">
        <x:v>完成7/29–8/11活动切换观察：分拆Sessions、CVR、Units、利润率。</x:v>
      </x:c>
      <x:c r="F16" s="19" t="str">
        <x:v>确认波动是否来自活动周期、价格、库存或广告；禁止把回落直接归因于活动结束。</x:v>
      </x:c>
      <x:c r="G16" s="19" t="str">
        <x:v>活动周期分析结论</x:v>
      </x:c>
      <x:c r="H16" s="21" t="str">
        <x:v>待开始</x:v>
      </x:c>
      <x:c r="I16" s="21" t="str"/>
    </x:row>
    <x:row r="17">
      <x:c r="A17" s="27" t="n">
        <x:v>46246</x:v>
      </x:c>
      <x:c r="B17" s="19" t="str">
        <x:v>周三</x:v>
      </x:c>
      <x:c r="C17" s="19" t="str">
        <x:v>W2</x:v>
      </x:c>
      <x:c r="D17" s="19" t="n">
        <x:v>5</x:v>
      </x:c>
      <x:c r="E17" s="19" t="str">
        <x:v>识别DMOM1018/1025/1026的转化修复优先级与最小测试。</x:v>
      </x:c>
      <x:c r="F17" s="19" t="str">
        <x:v>处理主图、标题、评论与状态问题；修复前不扩广告。</x:v>
      </x:c>
      <x:c r="G17" s="19" t="str">
        <x:v>Listing修复证据</x:v>
      </x:c>
      <x:c r="H17" s="21" t="str">
        <x:v>待开始</x:v>
      </x:c>
      <x:c r="I17" s="21" t="str"/>
    </x:row>
    <x:row r="18">
      <x:c r="A18" s="27" t="n">
        <x:v>46247</x:v>
      </x:c>
      <x:c r="B18" s="19" t="str">
        <x:v>周四</x:v>
      </x:c>
      <x:c r="C18" s="19" t="str">
        <x:v>W2</x:v>
      </x:c>
      <x:c r="D18" s="19" t="n">
        <x:v>5</x:v>
      </x:c>
      <x:c r="E18" s="19" t="str">
        <x:v>核验Promotion/Offer/广告叠加后的真实折扣与预测费率。</x:v>
      </x:c>
      <x:c r="F18" s="19" t="str">
        <x:v>确认折扣、WSC、COGS、运费口径；超15%广告费率或毛利&lt;20%冻结放量。</x:v>
      </x:c>
      <x:c r="G18" s="19" t="str">
        <x:v>利润与费率核验</x:v>
      </x:c>
      <x:c r="H18" s="21" t="str">
        <x:v>待开始</x:v>
      </x:c>
      <x:c r="I18" s="21" t="str"/>
    </x:row>
    <x:row r="19">
      <x:c r="A19" s="27" t="n">
        <x:v>46248</x:v>
      </x:c>
      <x:c r="B19" s="19" t="str">
        <x:v>周五</x:v>
      </x:c>
      <x:c r="C19" s="19" t="str">
        <x:v>W2</x:v>
      </x:c>
      <x:c r="D19" s="19" t="n">
        <x:v>5</x:v>
      </x:c>
      <x:c r="E19" s="19" t="str">
        <x:v>输出W2 Scorecard、Gate 2候选、Offer 14天中期结论。</x:v>
      </x:c>
      <x:c r="F19" s="19" t="str">
        <x:v>周会验收累计65与全部护栏；决定是否进入W3集中放量。</x:v>
      </x:c>
      <x:c r="G19" s="19" t="str">
        <x:v>W2周报、Gate 2候选</x:v>
      </x:c>
      <x:c r="H19" s="21" t="str">
        <x:v>待开始</x:v>
      </x:c>
      <x:c r="I19" s="21" t="str"/>
    </x:row>
    <x:row r="20">
      <x:c r="A20" s="27" t="n">
        <x:v>46249</x:v>
      </x:c>
      <x:c r="B20" s="19" t="str">
        <x:v>周六</x:v>
      </x:c>
      <x:c r="C20" s="19" t="str">
        <x:v>W3</x:v>
      </x:c>
      <x:c r="D20" s="19" t="n">
        <x:v>5</x:v>
      </x:c>
      <x:c r="E20" s="19" t="str">
        <x:v>基于累计65、ROAS、库存、费率生成Gate 2执行卡。</x:v>
      </x:c>
      <x:c r="F20" s="19" t="str">
        <x:v>全部达标才批准最多$350；未达标则保持现有预算并修复卡点。</x:v>
      </x:c>
      <x:c r="G20" s="19" t="str">
        <x:v>Gate 2签字、参数快照</x:v>
      </x:c>
      <x:c r="H20" s="21" t="str">
        <x:v>待开始</x:v>
      </x:c>
      <x:c r="I20" s="21" t="str"/>
    </x:row>
    <x:row r="21">
      <x:c r="A21" s="27" t="n">
        <x:v>46250</x:v>
      </x:c>
      <x:c r="B21" s="19" t="str">
        <x:v>周日</x:v>
      </x:c>
      <x:c r="C21" s="19" t="str">
        <x:v>W3</x:v>
      </x:c>
      <x:c r="D21" s="19" t="n">
        <x:v>5</x:v>
      </x:c>
      <x:c r="E21" s="19" t="str">
        <x:v>审计前三Listing广告花费占比和边际回报。</x:v>
      </x:c>
      <x:c r="F21" s="19" t="str">
        <x:v>确保DMOM1021/1022/1019合计占预算≥60%，但不挤占库存不足的SKU。</x:v>
      </x:c>
      <x:c r="G21" s="19" t="str">
        <x:v>预算集中度审计</x:v>
      </x:c>
      <x:c r="H21" s="21" t="str">
        <x:v>待开始</x:v>
      </x:c>
      <x:c r="I21" s="21" t="str"/>
    </x:row>
    <x:row r="22">
      <x:c r="A22" s="27" t="n">
        <x:v>46251</x:v>
      </x:c>
      <x:c r="B22" s="19" t="str">
        <x:v>周一</x:v>
      </x:c>
      <x:c r="C22" s="19" t="str">
        <x:v>W3</x:v>
      </x:c>
      <x:c r="D22" s="19" t="n">
        <x:v>6</x:v>
      </x:c>
      <x:c r="E22" s="19" t="str">
        <x:v>重算剩余70 Units的SKU责任、库存覆盖与预测。</x:v>
      </x:c>
      <x:c r="F22" s="19" t="str">
        <x:v>周一分配会：批准目标迁移；任何迁移必须同时改预算和Offer资格。</x:v>
      </x:c>
      <x:c r="G22" s="19" t="str">
        <x:v>目标迁移记录</x:v>
      </x:c>
      <x:c r="H22" s="21" t="str">
        <x:v>待开始</x:v>
      </x:c>
      <x:c r="I22" s="21" t="str"/>
    </x:row>
    <x:row r="23">
      <x:c r="A23" s="27" t="n">
        <x:v>46252</x:v>
      </x:c>
      <x:c r="B23" s="19" t="str">
        <x:v>周二</x:v>
      </x:c>
      <x:c r="C23" s="19" t="str">
        <x:v>W3</x:v>
      </x:c>
      <x:c r="D23" s="19" t="n">
        <x:v>6</x:v>
      </x:c>
      <x:c r="E23" s="19" t="str">
        <x:v>完成Offer 14天净增判断，区分成交、AOV与真实增量。</x:v>
      </x:c>
      <x:c r="F23" s="19" t="str">
        <x:v>继续有净增且毛利达标的Offer；结束无增量或侵蚀毛利的Offer。</x:v>
      </x:c>
      <x:c r="G23" s="19" t="str">
        <x:v>Offer 14天实验结论</x:v>
      </x:c>
      <x:c r="H23" s="21" t="str">
        <x:v>待开始</x:v>
      </x:c>
      <x:c r="I23" s="21" t="str"/>
    </x:row>
    <x:row r="24">
      <x:c r="A24" s="27" t="n">
        <x:v>46253</x:v>
      </x:c>
      <x:c r="B24" s="19" t="str">
        <x:v>周三</x:v>
      </x:c>
      <x:c r="C24" s="19" t="str">
        <x:v>W3</x:v>
      </x:c>
      <x:c r="D24" s="19" t="n">
        <x:v>6</x:v>
      </x:c>
      <x:c r="E24" s="19" t="str">
        <x:v>审查DMOM1017/1000评分、状态、点击和转化是否达到测试门槛。</x:v>
      </x:c>
      <x:c r="F24" s="19" t="str">
        <x:v>状态未清零或评分风险未缓解则保持限额/暂停，并推进整改。</x:v>
      </x:c>
      <x:c r="G24" s="19" t="str">
        <x:v>长尾SKU处置证据</x:v>
      </x:c>
      <x:c r="H24" s="21" t="str">
        <x:v>待开始</x:v>
      </x:c>
      <x:c r="I24" s="21" t="str"/>
    </x:row>
    <x:row r="25">
      <x:c r="A25" s="27" t="n">
        <x:v>46254</x:v>
      </x:c>
      <x:c r="B25" s="19" t="str">
        <x:v>周四</x:v>
      </x:c>
      <x:c r="C25" s="19" t="str">
        <x:v>W3</x:v>
      </x:c>
      <x:c r="D25" s="19" t="n">
        <x:v>6</x:v>
      </x:c>
      <x:c r="E25" s="19" t="str">
        <x:v>扫描Fill Rate、取消、延迟、缺货与集中库存风险。</x:v>
      </x:c>
      <x:c r="F25" s="19" t="str">
        <x:v>处理供应链异常；有履约恶化的SKU同日停广告/Offer并迁移目标。</x:v>
      </x:c>
      <x:c r="G25" s="19" t="str">
        <x:v>履约异常单</x:v>
      </x:c>
      <x:c r="H25" s="21" t="str">
        <x:v>待开始</x:v>
      </x:c>
      <x:c r="I25" s="21" t="str"/>
    </x:row>
    <x:row r="26">
      <x:c r="A26" s="27" t="n">
        <x:v>46255</x:v>
      </x:c>
      <x:c r="B26" s="19" t="str">
        <x:v>周五</x:v>
      </x:c>
      <x:c r="C26" s="19" t="str">
        <x:v>W3</x:v>
      </x:c>
      <x:c r="D26" s="19" t="n">
        <x:v>6</x:v>
      </x:c>
      <x:c r="E26" s="19" t="str">
        <x:v>输出W3 Scorecard、月末45 Units冲刺边界和8月暂不提报组复核。</x:v>
      </x:c>
      <x:c r="F26" s="19" t="str">
        <x:v>周会验收累计105；复核Promotion候选/暂不提报清单；批准W4边界。</x:v>
      </x:c>
      <x:c r="G26" s="19" t="str">
        <x:v>W3周报、Promotion复核</x:v>
      </x:c>
      <x:c r="H26" s="21" t="str">
        <x:v>待开始</x:v>
      </x:c>
      <x:c r="I26" s="21" t="str"/>
    </x:row>
    <x:row r="27">
      <x:c r="A27" s="27" t="n">
        <x:v>46256</x:v>
      </x:c>
      <x:c r="B27" s="19" t="str">
        <x:v>周六</x:v>
      </x:c>
      <x:c r="C27" s="19" t="str">
        <x:v>W4</x:v>
      </x:c>
      <x:c r="D27" s="19" t="n">
        <x:v>4</x:v>
      </x:c>
      <x:c r="E27" s="19" t="str">
        <x:v>生成10天冲刺计划，按SKU拆剩余45 Units与每日缺口。</x:v>
      </x:c>
      <x:c r="F27" s="19" t="str">
        <x:v>只给过全部护栏的赢家冲刺；明确不得救的缺货/低评分组。</x:v>
      </x:c>
      <x:c r="G27" s="19" t="str">
        <x:v>W4冲刺责任表</x:v>
      </x:c>
      <x:c r="H27" s="21" t="str">
        <x:v>待开始</x:v>
      </x:c>
      <x:c r="I27" s="21" t="str"/>
    </x:row>
    <x:row r="28">
      <x:c r="A28" s="27" t="n">
        <x:v>46257</x:v>
      </x:c>
      <x:c r="B28" s="19" t="str">
        <x:v>周日</x:v>
      </x:c>
      <x:c r="C28" s="19" t="str">
        <x:v>W4</x:v>
      </x:c>
      <x:c r="D28" s="19" t="n">
        <x:v>4</x:v>
      </x:c>
      <x:c r="E28" s="19" t="str">
        <x:v>检查周末订单、库存消耗、Delivery与异常日耗。</x:v>
      </x:c>
      <x:c r="F28" s="19" t="str">
        <x:v>补库存/履约证据；非赢家不因周末短期波动加预算。</x:v>
      </x:c>
      <x:c r="G28" s="19" t="str">
        <x:v>周末健康检查</x:v>
      </x:c>
      <x:c r="H28" s="21" t="str">
        <x:v>待开始</x:v>
      </x:c>
      <x:c r="I28" s="21" t="str"/>
    </x:row>
    <x:row r="29">
      <x:c r="A29" s="27" t="n">
        <x:v>46258</x:v>
      </x:c>
      <x:c r="B29" s="19" t="str">
        <x:v>周一</x:v>
      </x:c>
      <x:c r="C29" s="19" t="str">
        <x:v>W4</x:v>
      </x:c>
      <x:c r="D29" s="19" t="n">
        <x:v>5</x:v>
      </x:c>
      <x:c r="E29" s="19" t="str">
        <x:v>按剩余33 Units重算资源与预计关账结果。</x:v>
      </x:c>
      <x:c r="F29" s="19" t="str">
        <x:v>最后一次常规周一分配：批准赢家Cap与目标迁移，锁定低风险动作。</x:v>
      </x:c>
      <x:c r="G29" s="19" t="str">
        <x:v>最终资源分配单</x:v>
      </x:c>
      <x:c r="H29" s="21" t="str">
        <x:v>待开始</x:v>
      </x:c>
      <x:c r="I29" s="21" t="str"/>
    </x:row>
    <x:row r="30">
      <x:c r="A30" s="27" t="n">
        <x:v>46259</x:v>
      </x:c>
      <x:c r="B30" s="19" t="str">
        <x:v>周二</x:v>
      </x:c>
      <x:c r="C30" s="19" t="str">
        <x:v>W4</x:v>
      </x:c>
      <x:c r="D30" s="19" t="n">
        <x:v>4</x:v>
      </x:c>
      <x:c r="E30" s="19" t="str">
        <x:v>筛选≥20点击0单、7天ROAS&lt;2.5×和费率超线组。</x:v>
      </x:c>
      <x:c r="F30" s="19" t="str">
        <x:v>执行止损：减20%或暂停；保留截图、结果和回退条件。</x:v>
      </x:c>
      <x:c r="G30" s="19" t="str">
        <x:v>广告止损记录</x:v>
      </x:c>
      <x:c r="H30" s="21" t="str">
        <x:v>待开始</x:v>
      </x:c>
      <x:c r="I30" s="21" t="str"/>
    </x:row>
    <x:row r="31">
      <x:c r="A31" s="27" t="n">
        <x:v>46260</x:v>
      </x:c>
      <x:c r="B31" s="19" t="str">
        <x:v>周三</x:v>
      </x:c>
      <x:c r="C31" s="19" t="str">
        <x:v>W4</x:v>
      </x:c>
      <x:c r="D31" s="19" t="n">
        <x:v>4</x:v>
      </x:c>
      <x:c r="E31" s="19" t="str">
        <x:v>核对Promotion、价格、Offer叠加和单SKU贡献毛利。</x:v>
      </x:c>
      <x:c r="F31" s="19" t="str">
        <x:v>停止侵蚀毛利的叠加；不为追150降低20%毛利护栏。</x:v>
      </x:c>
      <x:c r="G31" s="19" t="str">
        <x:v>价格/促销利润表</x:v>
      </x:c>
      <x:c r="H31" s="21" t="str">
        <x:v>待开始</x:v>
      </x:c>
      <x:c r="I31" s="21" t="str"/>
    </x:row>
    <x:row r="32">
      <x:c r="A32" s="27" t="n">
        <x:v>46261</x:v>
      </x:c>
      <x:c r="B32" s="19" t="str">
        <x:v>周四</x:v>
      </x:c>
      <x:c r="C32" s="19" t="str">
        <x:v>W4</x:v>
      </x:c>
      <x:c r="D32" s="19" t="n">
        <x:v>5</x:v>
      </x:c>
      <x:c r="E32" s="19" t="str">
        <x:v>更新剩余19 Units缺口来源，给出自然/广告/Offer唯一归因预测。</x:v>
      </x:c>
      <x:c r="F32" s="19" t="str">
        <x:v>处理可逆卡点；禁止新建无观察窗的大测试。</x:v>
      </x:c>
      <x:c r="G32" s="19" t="str">
        <x:v>关账预测、风险清单</x:v>
      </x:c>
      <x:c r="H32" s="21" t="str">
        <x:v>待开始</x:v>
      </x:c>
      <x:c r="I32" s="21" t="str"/>
    </x:row>
    <x:row r="33">
      <x:c r="A33" s="27" t="n">
        <x:v>46262</x:v>
      </x:c>
      <x:c r="B33" s="19" t="str">
        <x:v>周五</x:v>
      </x:c>
      <x:c r="C33" s="19" t="str">
        <x:v>W4</x:v>
      </x:c>
      <x:c r="D33" s="19" t="n">
        <x:v>4</x:v>
      </x:c>
      <x:c r="E33" s="19" t="str">
        <x:v>输出最后周会包：当前累计、预测、预算余量、库存与关闭建议。</x:v>
      </x:c>
      <x:c r="F33" s="19" t="str">
        <x:v>周会决定最后3天动作；冻结高风险Listing、深折扣和大幅Bid变更。</x:v>
      </x:c>
      <x:c r="G33" s="19" t="str">
        <x:v>最终周会决议</x:v>
      </x:c>
      <x:c r="H33" s="21" t="str">
        <x:v>待开始</x:v>
      </x:c>
      <x:c r="I33" s="21" t="str"/>
    </x:row>
    <x:row r="34">
      <x:c r="A34" s="27" t="n">
        <x:v>46263</x:v>
      </x:c>
      <x:c r="B34" s="19" t="str">
        <x:v>周六</x:v>
      </x:c>
      <x:c r="C34" s="19" t="str">
        <x:v>W4</x:v>
      </x:c>
      <x:c r="D34" s="19" t="n">
        <x:v>4</x:v>
      </x:c>
      <x:c r="E34" s="19" t="str">
        <x:v>监控赢家边际效率与履约，不创建新学习结论。</x:v>
      </x:c>
      <x:c r="F34" s="19" t="str">
        <x:v>仅执行预先批准的小幅可逆动作；异常优先保利润与履约。</x:v>
      </x:c>
      <x:c r="G34" s="19" t="str">
        <x:v>周末执行证据</x:v>
      </x:c>
      <x:c r="H34" s="21" t="str">
        <x:v>待开始</x:v>
      </x:c>
      <x:c r="I34" s="21" t="str"/>
    </x:row>
    <x:row r="35">
      <x:c r="A35" s="27" t="n">
        <x:v>46264</x:v>
      </x:c>
      <x:c r="B35" s="19" t="str">
        <x:v>周日</x:v>
      </x:c>
      <x:c r="C35" s="19" t="str">
        <x:v>W4</x:v>
      </x:c>
      <x:c r="D35" s="19" t="n">
        <x:v>5</x:v>
      </x:c>
      <x:c r="E35" s="19" t="str">
        <x:v>准备关账：缺失数据、重复归因、未验收任务和规则候选清单。</x:v>
      </x:c>
      <x:c r="F35" s="19" t="str">
        <x:v>补齐证据和验收人；确认8/31数据冻结范围。</x:v>
      </x:c>
      <x:c r="G35" s="19" t="str">
        <x:v>关账预检清单</x:v>
      </x:c>
      <x:c r="H35" s="21" t="str">
        <x:v>待开始</x:v>
      </x:c>
      <x:c r="I35" s="21" t="str"/>
    </x:row>
    <x:row r="36">
      <x:c r="A36" s="27" t="n">
        <x:v>46265</x:v>
      </x:c>
      <x:c r="B36" s="19" t="str">
        <x:v>周一</x:v>
      </x:c>
      <x:c r="C36" s="19" t="str">
        <x:v>W4</x:v>
      </x:c>
      <x:c r="D36" s="19" t="n">
        <x:v>6</x:v>
      </x:c>
      <x:c r="E36" s="19" t="str">
        <x:v>冻结8月数据；完成150 Units、预算、利润、履约、归因和实验复盘；起草9月SOP vNext。</x:v>
      </x:c>
      <x:c r="F36" s="19" t="str">
        <x:v>完成后台最终核对与验收；批准规则升级/保留/回退/退休，并签署9月目标输入。</x:v>
      </x:c>
      <x:c r="G36" s="19" t="str">
        <x:v>月度复盘、规则版本、9月输入清单</x:v>
      </x:c>
      <x:c r="H36" s="21" t="str">
        <x:v>待开始</x:v>
      </x:c>
      <x:c r="I36" s="21" t="str"/>
    </x:row>
  </x:sheetData>
  <x:mergeCells>
    <x:mergeCell ref="A1:I1"/>
    <x:mergeCell ref="A2:I2"/>
  </x:mergeCells>
  <x:conditionalFormatting sqref="H6:H36">
    <x:cfRule type="containsText" dxfId="4" priority="1" operator="containsText" text="闭环"/>
    <x:cfRule type="containsText" dxfId="5" priority="2" operator="containsText" text="回退"/>
  </x:conditionalFormatting>
  <x:dataValidations count="1">
    <x:dataValidation type="list" sqref="H6:H36">
      <x:formula1>"待开始,待审批,执行中,待验收,已验证,待复盘,闭环,回退"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1a0894aab044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34" customHeight="1">
      <x:c r="A1" s="4" t="str">
        <x:v>YB店｜2026年8月 周复盘</x:v>
      </x:c>
      <x:c r="B1" s="4" t="str">
        <x:v>YB店｜2026年8月 周复盘</x:v>
      </x:c>
      <x:c r="C1" s="4" t="str">
        <x:v>YB店｜2026年8月 周复盘</x:v>
      </x:c>
      <x:c r="D1" s="4" t="str">
        <x:v>YB店｜2026年8月 周复盘</x:v>
      </x:c>
      <x:c r="E1" s="4" t="str">
        <x:v>YB店｜2026年8月 周复盘</x:v>
      </x:c>
      <x:c r="F1" s="4" t="str">
        <x:v>YB店｜2026年8月 周复盘</x:v>
      </x:c>
      <x:c r="G1" s="4" t="str">
        <x:v>YB店｜2026年8月 周复盘</x:v>
      </x:c>
      <x:c r="H1" s="4" t="str">
        <x:v>YB店｜2026年8月 周复盘</x:v>
      </x:c>
      <x:c r="I1" s="4" t="str">
        <x:v>YB店｜2026年8月 周复盘</x:v>
      </x:c>
      <x:c r="J1" s="4" t="str">
        <x:v>YB店｜2026年8月 周复盘</x:v>
      </x:c>
      <x:c r="K1" s="4" t="str">
        <x:v>YB店｜2026年8月 周复盘</x:v>
      </x:c>
      <x:c r="L1" s="4" t="str">
        <x:v>YB店｜2026年8月 周复盘</x:v>
      </x:c>
      <x:c r="M1" s="4" t="str">
        <x:v>YB店｜2026年8月 周复盘</x:v>
      </x:c>
      <x:c r="N1" s="4" t="str">
        <x:v>YB店｜2026年8月 周复盘</x:v>
      </x:c>
      <x:c r="O1" s="4" t="str">
        <x:v>YB店｜2026年8月 周复盘</x:v>
      </x:c>
    </x:row>
    <x:row r="2" ht="24" customHeight="1">
      <x:c r="A2" s="7" t="str">
        <x:v>8/7、8/14、8/21、8/31固定验收；Gate只在证据完整时审批。</x:v>
      </x:c>
      <x:c r="B2" s="7" t="str">
        <x:v>8/7、8/14、8/21、8/31固定验收；Gate只在证据完整时审批。</x:v>
      </x:c>
      <x:c r="C2" s="7" t="str">
        <x:v>8/7、8/14、8/21、8/31固定验收；Gate只在证据完整时审批。</x:v>
      </x:c>
      <x:c r="D2" s="7" t="str">
        <x:v>8/7、8/14、8/21、8/31固定验收；Gate只在证据完整时审批。</x:v>
      </x:c>
      <x:c r="E2" s="7" t="str">
        <x:v>8/7、8/14、8/21、8/31固定验收；Gate只在证据完整时审批。</x:v>
      </x:c>
      <x:c r="F2" s="7" t="str">
        <x:v>8/7、8/14、8/21、8/31固定验收；Gate只在证据完整时审批。</x:v>
      </x:c>
      <x:c r="G2" s="7" t="str">
        <x:v>8/7、8/14、8/21、8/31固定验收；Gate只在证据完整时审批。</x:v>
      </x:c>
      <x:c r="H2" s="7" t="str">
        <x:v>8/7、8/14、8/21、8/31固定验收；Gate只在证据完整时审批。</x:v>
      </x:c>
      <x:c r="I2" s="7" t="str">
        <x:v>8/7、8/14、8/21、8/31固定验收；Gate只在证据完整时审批。</x:v>
      </x:c>
      <x:c r="J2" s="7" t="str">
        <x:v>8/7、8/14、8/21、8/31固定验收；Gate只在证据完整时审批。</x:v>
      </x:c>
      <x:c r="K2" s="7" t="str">
        <x:v>8/7、8/14、8/21、8/31固定验收；Gate只在证据完整时审批。</x:v>
      </x:c>
      <x:c r="L2" s="7" t="str">
        <x:v>8/7、8/14、8/21、8/31固定验收；Gate只在证据完整时审批。</x:v>
      </x:c>
      <x:c r="M2" s="7" t="str">
        <x:v>8/7、8/14、8/21、8/31固定验收；Gate只在证据完整时审批。</x:v>
      </x:c>
      <x:c r="N2" s="7" t="str">
        <x:v>8/7、8/14、8/21、8/31固定验收；Gate只在证据完整时审批。</x:v>
      </x:c>
      <x:c r="O2" s="7" t="str">
        <x:v>8/7、8/14、8/21、8/31固定验收；Gate只在证据完整时审批。</x:v>
      </x:c>
    </x:row>
    <x:row r="5">
      <x:c r="A5" s="12" t="str">
        <x:v>周次</x:v>
      </x:c>
      <x:c r="B5" s="12" t="str">
        <x:v>日期</x:v>
      </x:c>
      <x:c r="C5" s="12" t="str">
        <x:v>周目标</x:v>
      </x:c>
      <x:c r="D5" s="12" t="str">
        <x:v>累计目标</x:v>
      </x:c>
      <x:c r="E5" s="12" t="str">
        <x:v>实际Units</x:v>
      </x:c>
      <x:c r="F5" s="12" t="str">
        <x:v>差异</x:v>
      </x:c>
      <x:c r="G5" s="12" t="str">
        <x:v>广告归因单</x:v>
      </x:c>
      <x:c r="H5" s="12" t="str">
        <x:v>广告花费</x:v>
      </x:c>
      <x:c r="I5" s="12" t="str">
        <x:v>加权WSC ROAS</x:v>
      </x:c>
      <x:c r="J5" s="12" t="str">
        <x:v>平均Fill Rate</x:v>
      </x:c>
      <x:c r="K5" s="12" t="str">
        <x:v>平均毛利</x:v>
      </x:c>
      <x:c r="L5" s="12" t="str">
        <x:v>Gate决定</x:v>
      </x:c>
      <x:c r="M5" s="12" t="str">
        <x:v>关键结论</x:v>
      </x:c>
      <x:c r="N5" s="12" t="str">
        <x:v>证据/Operation ID</x:v>
      </x:c>
      <x:c r="O5" s="12" t="str">
        <x:v>下周动作</x:v>
      </x:c>
    </x:row>
    <x:row r="6">
      <x:c r="A6" s="18" t="str">
        <x:v>W1</x:v>
      </x:c>
      <x:c r="B6" s="18" t="str">
        <x:v>8/1–8/7</x:v>
      </x:c>
      <x:c r="C6" s="18" t="n">
        <x:v>30</x:v>
      </x:c>
      <x:c r="D6" s="18" t="n">
        <x:v>30</x:v>
      </x:c>
      <x:c r="E6" s="18" t="n">
        <x:f>SUM('每日数据'!F6:F12)</x:f>
        <x:v>0</x:v>
      </x:c>
      <x:c r="F6" s="18" t="n">
        <x:f>E6-C6</x:f>
        <x:v>-30</x:v>
      </x:c>
      <x:c r="G6" s="18" t="n">
        <x:f>SUM('每日数据'!K6:K12)</x:f>
        <x:v>0</x:v>
      </x:c>
      <x:c r="H6" s="28" t="n">
        <x:f>SUM('每日数据'!J6:J12)</x:f>
        <x:v>0</x:v>
      </x:c>
      <x:c r="I6" s="30" t="str">
        <x:f>IF(H6=0,"",SUMPRODUCT('每日数据'!J6:J12,'每日数据'!L6:L12)/H6)</x:f>
      </x:c>
      <x:c r="J6" s="32" t="str">
        <x:f>IFERROR(SUM('每日数据'!N6:N12)/COUNT('每日数据'!N6:N12),"")</x:f>
      </x:c>
      <x:c r="K6" s="32" t="str">
        <x:f>IFERROR(SUM('每日数据'!O6:O12)/COUNT('每日数据'!O6:O12),"")</x:f>
      </x:c>
      <x:c r="L6" s="20" t="str">
        <x:v>待决策</x:v>
      </x:c>
      <x:c r="M6" s="20" t="str"/>
      <x:c r="N6" s="20" t="str"/>
      <x:c r="O6" s="20" t="str"/>
    </x:row>
    <x:row r="7">
      <x:c r="A7" s="19" t="str">
        <x:v>W2</x:v>
      </x:c>
      <x:c r="B7" s="19" t="str">
        <x:v>8/8–8/14</x:v>
      </x:c>
      <x:c r="C7" s="19" t="n">
        <x:v>35</x:v>
      </x:c>
      <x:c r="D7" s="19" t="n">
        <x:v>65</x:v>
      </x:c>
      <x:c r="E7" s="19" t="n">
        <x:f>SUM('每日数据'!F13:F19)</x:f>
        <x:v>0</x:v>
      </x:c>
      <x:c r="F7" s="19" t="n">
        <x:f>E7-C7</x:f>
        <x:v>-35</x:v>
      </x:c>
      <x:c r="G7" s="19" t="n">
        <x:f>SUM('每日数据'!K13:K19)</x:f>
        <x:v>0</x:v>
      </x:c>
      <x:c r="H7" s="29" t="n">
        <x:f>SUM('每日数据'!J13:J19)</x:f>
        <x:v>0</x:v>
      </x:c>
      <x:c r="I7" s="31" t="str">
        <x:f>IF(H7=0,"",SUMPRODUCT('每日数据'!J13:J19,'每日数据'!L13:L19)/H7)</x:f>
      </x:c>
      <x:c r="J7" s="33" t="str">
        <x:f>IFERROR(SUM('每日数据'!N13:N19)/COUNT('每日数据'!N13:N19),"")</x:f>
      </x:c>
      <x:c r="K7" s="33" t="str">
        <x:f>IFERROR(SUM('每日数据'!O13:O19)/COUNT('每日数据'!O13:O19),"")</x:f>
      </x:c>
      <x:c r="L7" s="21" t="str">
        <x:v>待决策</x:v>
      </x:c>
      <x:c r="M7" s="21" t="str"/>
      <x:c r="N7" s="21" t="str"/>
      <x:c r="O7" s="21" t="str"/>
    </x:row>
    <x:row r="8">
      <x:c r="A8" s="19" t="str">
        <x:v>W3</x:v>
      </x:c>
      <x:c r="B8" s="19" t="str">
        <x:v>8/15–8/21</x:v>
      </x:c>
      <x:c r="C8" s="19" t="n">
        <x:v>40</x:v>
      </x:c>
      <x:c r="D8" s="19" t="n">
        <x:v>105</x:v>
      </x:c>
      <x:c r="E8" s="19" t="n">
        <x:f>SUM('每日数据'!F20:F26)</x:f>
        <x:v>0</x:v>
      </x:c>
      <x:c r="F8" s="19" t="n">
        <x:f>E8-C8</x:f>
        <x:v>-40</x:v>
      </x:c>
      <x:c r="G8" s="19" t="n">
        <x:f>SUM('每日数据'!K20:K26)</x:f>
        <x:v>0</x:v>
      </x:c>
      <x:c r="H8" s="29" t="n">
        <x:f>SUM('每日数据'!J20:J26)</x:f>
        <x:v>0</x:v>
      </x:c>
      <x:c r="I8" s="31" t="str">
        <x:f>IF(H8=0,"",SUMPRODUCT('每日数据'!J20:J26,'每日数据'!L20:L26)/H8)</x:f>
      </x:c>
      <x:c r="J8" s="33" t="str">
        <x:f>IFERROR(SUM('每日数据'!N20:N26)/COUNT('每日数据'!N20:N26),"")</x:f>
      </x:c>
      <x:c r="K8" s="33" t="str">
        <x:f>IFERROR(SUM('每日数据'!O20:O26)/COUNT('每日数据'!O20:O26),"")</x:f>
      </x:c>
      <x:c r="L8" s="21" t="str">
        <x:v>待决策</x:v>
      </x:c>
      <x:c r="M8" s="21" t="str"/>
      <x:c r="N8" s="21" t="str"/>
      <x:c r="O8" s="21" t="str"/>
    </x:row>
    <x:row r="9">
      <x:c r="A9" s="19" t="str">
        <x:v>W4</x:v>
      </x:c>
      <x:c r="B9" s="19" t="str">
        <x:v>8/22–8/31</x:v>
      </x:c>
      <x:c r="C9" s="19" t="n">
        <x:v>45</x:v>
      </x:c>
      <x:c r="D9" s="19" t="n">
        <x:v>150</x:v>
      </x:c>
      <x:c r="E9" s="19" t="n">
        <x:f>SUM('每日数据'!F27:F36)</x:f>
        <x:v>0</x:v>
      </x:c>
      <x:c r="F9" s="19" t="n">
        <x:f>E9-C9</x:f>
        <x:v>-45</x:v>
      </x:c>
      <x:c r="G9" s="19" t="n">
        <x:f>SUM('每日数据'!K27:K36)</x:f>
        <x:v>0</x:v>
      </x:c>
      <x:c r="H9" s="29" t="n">
        <x:f>SUM('每日数据'!J27:J36)</x:f>
        <x:v>0</x:v>
      </x:c>
      <x:c r="I9" s="31" t="str">
        <x:f>IF(H9=0,"",SUMPRODUCT('每日数据'!J27:J36,'每日数据'!L27:L36)/H9)</x:f>
      </x:c>
      <x:c r="J9" s="33" t="str">
        <x:f>IFERROR(SUM('每日数据'!N27:N36)/COUNT('每日数据'!N27:N36),"")</x:f>
      </x:c>
      <x:c r="K9" s="33" t="str">
        <x:f>IFERROR(SUM('每日数据'!O27:O36)/COUNT('每日数据'!O27:O36),"")</x:f>
      </x:c>
      <x:c r="L9" s="21" t="str">
        <x:v>待决策</x:v>
      </x:c>
      <x:c r="M9" s="21" t="str"/>
      <x:c r="N9" s="21" t="str"/>
      <x:c r="O9" s="21" t="str"/>
    </x:row>
    <x:row r="12" ht="25" customHeight="1">
      <x:c r="A12" s="25" t="str">
        <x:v>固定周验收标准</x:v>
      </x:c>
      <x:c r="B12" s="25" t="str">
        <x:v>固定周验收标准</x:v>
      </x:c>
      <x:c r="C12" s="25" t="str">
        <x:v>固定周验收标准</x:v>
      </x:c>
      <x:c r="D12" s="25" t="str">
        <x:v>固定周验收标准</x:v>
      </x:c>
      <x:c r="E12" s="25" t="str">
        <x:v>固定周验收标准</x:v>
      </x:c>
      <x:c r="F12" s="25" t="str">
        <x:v>固定周验收标准</x:v>
      </x:c>
      <x:c r="G12" s="25" t="str">
        <x:v>固定周验收标准</x:v>
      </x:c>
      <x:c r="H12" s="25" t="str">
        <x:v>固定周验收标准</x:v>
      </x:c>
      <x:c r="I12" s="25" t="str">
        <x:v>固定周验收标准</x:v>
      </x:c>
      <x:c r="J12" s="25" t="str">
        <x:v>固定周验收标准</x:v>
      </x:c>
      <x:c r="K12" s="25" t="str">
        <x:v>固定周验收标准</x:v>
      </x:c>
      <x:c r="L12" s="25" t="str">
        <x:v>固定周验收标准</x:v>
      </x:c>
      <x:c r="M12" s="25" t="str">
        <x:v>固定周验收标准</x:v>
      </x:c>
      <x:c r="N12" s="25" t="str">
        <x:v>固定周验收标准</x:v>
      </x:c>
      <x:c r="O12" s="25" t="str">
        <x:v>固定周验收标准</x:v>
      </x:c>
    </x:row>
    <x:row r="13">
      <x:c r="A13" s="12" t="str">
        <x:v>周次</x:v>
      </x:c>
      <x:c r="B13" s="12" t="str">
        <x:v>目标</x:v>
      </x:c>
      <x:c r="C13" s="12" t="str">
        <x:v>目标</x:v>
      </x:c>
      <x:c r="D13" s="12" t="str">
        <x:v>护栏重点</x:v>
      </x:c>
      <x:c r="E13" s="12" t="str">
        <x:v>护栏重点</x:v>
      </x:c>
      <x:c r="F13" s="12" t="str">
        <x:v>护栏重点</x:v>
      </x:c>
      <x:c r="G13" s="12" t="str">
        <x:v>护栏重点</x:v>
      </x:c>
      <x:c r="H13" s="12" t="str">
        <x:v>护栏重点</x:v>
      </x:c>
      <x:c r="I13" s="12" t="str">
        <x:v>护栏重点</x:v>
      </x:c>
      <x:c r="J13" s="12" t="str">
        <x:v>护栏重点</x:v>
      </x:c>
      <x:c r="K13" s="12" t="str">
        <x:v>输出</x:v>
      </x:c>
      <x:c r="L13" s="12" t="str">
        <x:v>输出</x:v>
      </x:c>
      <x:c r="M13" s="12" t="str">
        <x:v>输出</x:v>
      </x:c>
      <x:c r="N13" s="12" t="str">
        <x:v>输出</x:v>
      </x:c>
      <x:c r="O13" s="12" t="str">
        <x:v>输出</x:v>
      </x:c>
    </x:row>
    <x:row r="14">
      <x:c r="A14" s="18" t="str">
        <x:v>W1</x:v>
      </x:c>
      <x:c r="B14" s="18" t="str">
        <x:v>30 / 累计30</x:v>
      </x:c>
      <x:c r="C14" s="18" t="str">
        <x:v>30 / 累计30</x:v>
      </x:c>
      <x:c r="D14" s="18" t="str">
        <x:v>8/7验收：30 Units、平台广告单≥15、无核心缺货；为Gate 1形成建议，不自动放行。</x:v>
      </x:c>
      <x:c r="E14" s="18" t="str">
        <x:v>8/7验收：30 Units、平台广告单≥15、无核心缺货；为Gate 1形成建议，不自动放行。</x:v>
      </x:c>
      <x:c r="F14" s="18" t="str">
        <x:v>8/7验收：30 Units、平台广告单≥15、无核心缺货；为Gate 1形成建议，不自动放行。</x:v>
      </x:c>
      <x:c r="G14" s="18" t="str">
        <x:v>8/7验收：30 Units、平台广告单≥15、无核心缺货；为Gate 1形成建议，不自动放行。</x:v>
      </x:c>
      <x:c r="H14" s="18" t="str">
        <x:v>8/7验收：30 Units、平台广告单≥15、无核心缺货；为Gate 1形成建议，不自动放行。</x:v>
      </x:c>
      <x:c r="I14" s="18" t="str">
        <x:v>8/7验收：30 Units、平台广告单≥15、无核心缺货；为Gate 1形成建议，不自动放行。</x:v>
      </x:c>
      <x:c r="J14" s="18" t="str">
        <x:v>8/7验收：30 Units、平台广告单≥15、无核心缺货；为Gate 1形成建议，不自动放行。</x:v>
      </x:c>
      <x:c r="K14" s="18" t="str">
        <x:v>W1周报 + 决策记录 + 下周任务</x:v>
      </x:c>
      <x:c r="L14" s="18" t="str">
        <x:v>W1周报 + 决策记录 + 下周任务</x:v>
      </x:c>
      <x:c r="M14" s="18" t="str">
        <x:v>W1周报 + 决策记录 + 下周任务</x:v>
      </x:c>
      <x:c r="N14" s="18" t="str">
        <x:v>W1周报 + 决策记录 + 下周任务</x:v>
      </x:c>
      <x:c r="O14" s="18" t="str">
        <x:v>W1周报 + 决策记录 + 下周任务</x:v>
      </x:c>
    </x:row>
    <x:row r="15">
      <x:c r="A15" s="19" t="str">
        <x:v>W2</x:v>
      </x:c>
      <x:c r="B15" s="19" t="str">
        <x:v>35 / 累计65</x:v>
      </x:c>
      <x:c r="C15" s="19" t="str">
        <x:v>35 / 累计65</x:v>
      </x:c>
      <x:c r="D15" s="19" t="str">
        <x:v>8/14验收：累计65、账号ROAS≥3.5×、赢家≥4×、预测广告费率≤15%、库存达标。</x:v>
      </x:c>
      <x:c r="E15" s="19" t="str">
        <x:v>8/14验收：累计65、账号ROAS≥3.5×、赢家≥4×、预测广告费率≤15%、库存达标。</x:v>
      </x:c>
      <x:c r="F15" s="19" t="str">
        <x:v>8/14验收：累计65、账号ROAS≥3.5×、赢家≥4×、预测广告费率≤15%、库存达标。</x:v>
      </x:c>
      <x:c r="G15" s="19" t="str">
        <x:v>8/14验收：累计65、账号ROAS≥3.5×、赢家≥4×、预测广告费率≤15%、库存达标。</x:v>
      </x:c>
      <x:c r="H15" s="19" t="str">
        <x:v>8/14验收：累计65、账号ROAS≥3.5×、赢家≥4×、预测广告费率≤15%、库存达标。</x:v>
      </x:c>
      <x:c r="I15" s="19" t="str">
        <x:v>8/14验收：累计65、账号ROAS≥3.5×、赢家≥4×、预测广告费率≤15%、库存达标。</x:v>
      </x:c>
      <x:c r="J15" s="19" t="str">
        <x:v>8/14验收：累计65、账号ROAS≥3.5×、赢家≥4×、预测广告费率≤15%、库存达标。</x:v>
      </x:c>
      <x:c r="K15" s="19" t="str">
        <x:v>W2周报 + 决策记录 + 下周任务</x:v>
      </x:c>
      <x:c r="L15" s="19" t="str">
        <x:v>W2周报 + 决策记录 + 下周任务</x:v>
      </x:c>
      <x:c r="M15" s="19" t="str">
        <x:v>W2周报 + 决策记录 + 下周任务</x:v>
      </x:c>
      <x:c r="N15" s="19" t="str">
        <x:v>W2周报 + 决策记录 + 下周任务</x:v>
      </x:c>
      <x:c r="O15" s="19" t="str">
        <x:v>W2周报 + 决策记录 + 下周任务</x:v>
      </x:c>
    </x:row>
    <x:row r="16">
      <x:c r="A16" s="19" t="str">
        <x:v>W3</x:v>
      </x:c>
      <x:c r="B16" s="19" t="str">
        <x:v>40 / 累计105</x:v>
      </x:c>
      <x:c r="C16" s="19" t="str">
        <x:v>40 / 累计105</x:v>
      </x:c>
      <x:c r="D16" s="19" t="str">
        <x:v>8/21验收：累计105、前三Listing占预算≥60%、核心库存≥14天、毛利和履约均过线。</x:v>
      </x:c>
      <x:c r="E16" s="19" t="str">
        <x:v>8/21验收：累计105、前三Listing占预算≥60%、核心库存≥14天、毛利和履约均过线。</x:v>
      </x:c>
      <x:c r="F16" s="19" t="str">
        <x:v>8/21验收：累计105、前三Listing占预算≥60%、核心库存≥14天、毛利和履约均过线。</x:v>
      </x:c>
      <x:c r="G16" s="19" t="str">
        <x:v>8/21验收：累计105、前三Listing占预算≥60%、核心库存≥14天、毛利和履约均过线。</x:v>
      </x:c>
      <x:c r="H16" s="19" t="str">
        <x:v>8/21验收：累计105、前三Listing占预算≥60%、核心库存≥14天、毛利和履约均过线。</x:v>
      </x:c>
      <x:c r="I16" s="19" t="str">
        <x:v>8/21验收：累计105、前三Listing占预算≥60%、核心库存≥14天、毛利和履约均过线。</x:v>
      </x:c>
      <x:c r="J16" s="19" t="str">
        <x:v>8/21验收：累计105、前三Listing占预算≥60%、核心库存≥14天、毛利和履约均过线。</x:v>
      </x:c>
      <x:c r="K16" s="19" t="str">
        <x:v>W3周报 + 决策记录 + 下周任务</x:v>
      </x:c>
      <x:c r="L16" s="19" t="str">
        <x:v>W3周报 + 决策记录 + 下周任务</x:v>
      </x:c>
      <x:c r="M16" s="19" t="str">
        <x:v>W3周报 + 决策记录 + 下周任务</x:v>
      </x:c>
      <x:c r="N16" s="19" t="str">
        <x:v>W3周报 + 决策记录 + 下周任务</x:v>
      </x:c>
      <x:c r="O16" s="19" t="str">
        <x:v>W3周报 + 决策记录 + 下周任务</x:v>
      </x:c>
    </x:row>
    <x:row r="17">
      <x:c r="A17" s="19" t="str">
        <x:v>W4</x:v>
      </x:c>
      <x:c r="B17" s="19" t="str">
        <x:v>45 / 累计150</x:v>
      </x:c>
      <x:c r="C17" s="19" t="str">
        <x:v>45 / 累计150</x:v>
      </x:c>
      <x:c r="D17" s="19" t="str">
        <x:v>8/31验收：150 Units、花费≤$2,500、毛利≥20%、Fill Rate≥95%，形成9月SOP vNext。</x:v>
      </x:c>
      <x:c r="E17" s="19" t="str">
        <x:v>8/31验收：150 Units、花费≤$2,500、毛利≥20%、Fill Rate≥95%，形成9月SOP vNext。</x:v>
      </x:c>
      <x:c r="F17" s="19" t="str">
        <x:v>8/31验收：150 Units、花费≤$2,500、毛利≥20%、Fill Rate≥95%，形成9月SOP vNext。</x:v>
      </x:c>
      <x:c r="G17" s="19" t="str">
        <x:v>8/31验收：150 Units、花费≤$2,500、毛利≥20%、Fill Rate≥95%，形成9月SOP vNext。</x:v>
      </x:c>
      <x:c r="H17" s="19" t="str">
        <x:v>8/31验收：150 Units、花费≤$2,500、毛利≥20%、Fill Rate≥95%，形成9月SOP vNext。</x:v>
      </x:c>
      <x:c r="I17" s="19" t="str">
        <x:v>8/31验收：150 Units、花费≤$2,500、毛利≥20%、Fill Rate≥95%，形成9月SOP vNext。</x:v>
      </x:c>
      <x:c r="J17" s="19" t="str">
        <x:v>8/31验收：150 Units、花费≤$2,500、毛利≥20%、Fill Rate≥95%，形成9月SOP vNext。</x:v>
      </x:c>
      <x:c r="K17" s="19" t="str">
        <x:v>W4周报 + 决策记录 + 下周任务</x:v>
      </x:c>
      <x:c r="L17" s="19" t="str">
        <x:v>W4周报 + 决策记录 + 下周任务</x:v>
      </x:c>
      <x:c r="M17" s="19" t="str">
        <x:v>W4周报 + 决策记录 + 下周任务</x:v>
      </x:c>
      <x:c r="N17" s="19" t="str">
        <x:v>W4周报 + 决策记录 + 下周任务</x:v>
      </x:c>
      <x:c r="O17" s="19" t="str">
        <x:v>W4周报 + 决策记录 + 下周任务</x:v>
      </x:c>
    </x:row>
  </x:sheetData>
  <x:mergeCells>
    <x:mergeCell ref="A1:O1"/>
    <x:mergeCell ref="A2:O2"/>
    <x:mergeCell ref="A12:O12"/>
    <x:mergeCell ref="B13:C13"/>
    <x:mergeCell ref="D13:J13"/>
    <x:mergeCell ref="K13:O13"/>
    <x:mergeCell ref="B14:C14"/>
    <x:mergeCell ref="D14:J14"/>
    <x:mergeCell ref="K14:O14"/>
    <x:mergeCell ref="B15:C15"/>
    <x:mergeCell ref="D15:J15"/>
    <x:mergeCell ref="K15:O15"/>
    <x:mergeCell ref="B16:C16"/>
    <x:mergeCell ref="D16:J16"/>
    <x:mergeCell ref="K16:O16"/>
    <x:mergeCell ref="B17:C17"/>
    <x:mergeCell ref="D17:J17"/>
    <x:mergeCell ref="K17:O17"/>
  </x:mergeCells>
  <x:dataValidations count="1">
    <x:dataValidation type="list" sqref="L6:L9">
      <x:formula1>"待决策,不解锁,Gate 1通过,Gate 2通过,继续,回退,关账"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34" hidden="0" customWidth="1"/>
    <x:col min="5" max="5" width="38" hidden="0" customWidth="1"/>
    <x:col min="6" max="6" width="12" hidden="0" customWidth="1"/>
    <x:col min="7" max="7" width="12" hidden="0" customWidth="1"/>
    <x:col min="8" max="8" width="16" hidden="0" customWidth="1"/>
  </x:cols>
  <x:sheetData>
    <x:row r="1" ht="34" customHeight="1">
      <x:c r="A1" s="4" t="str">
        <x:v>YB店｜2026年8月 SKU责任</x:v>
      </x:c>
      <x:c r="B1" s="4" t="str">
        <x:v>YB店｜2026年8月 SKU责任</x:v>
      </x:c>
      <x:c r="C1" s="4" t="str">
        <x:v>YB店｜2026年8月 SKU责任</x:v>
      </x:c>
      <x:c r="D1" s="4" t="str">
        <x:v>YB店｜2026年8月 SKU责任</x:v>
      </x:c>
      <x:c r="E1" s="4" t="str">
        <x:v>YB店｜2026年8月 SKU责任</x:v>
      </x:c>
      <x:c r="F1" s="4" t="str">
        <x:v>YB店｜2026年8月 SKU责任</x:v>
      </x:c>
      <x:c r="G1" s="4" t="str">
        <x:v>YB店｜2026年8月 SKU责任</x:v>
      </x:c>
      <x:c r="H1" s="4" t="str">
        <x:v>YB店｜2026年8月 SKU责任</x:v>
      </x:c>
    </x:row>
    <x:row r="2" ht="24" customHeight="1">
      <x:c r="A2" s="7" t="str">
        <x:v>目标迁移时必须同步迁移预算与Offer资格，并保留前后证据。</x:v>
      </x:c>
      <x:c r="B2" s="7" t="str">
        <x:v>目标迁移时必须同步迁移预算与Offer资格，并保留前后证据。</x:v>
      </x:c>
      <x:c r="C2" s="7" t="str">
        <x:v>目标迁移时必须同步迁移预算与Offer资格，并保留前后证据。</x:v>
      </x:c>
      <x:c r="D2" s="7" t="str">
        <x:v>目标迁移时必须同步迁移预算与Offer资格，并保留前后证据。</x:v>
      </x:c>
      <x:c r="E2" s="7" t="str">
        <x:v>目标迁移时必须同步迁移预算与Offer资格，并保留前后证据。</x:v>
      </x:c>
      <x:c r="F2" s="7" t="str">
        <x:v>目标迁移时必须同步迁移预算与Offer资格，并保留前后证据。</x:v>
      </x:c>
      <x:c r="G2" s="7" t="str">
        <x:v>目标迁移时必须同步迁移预算与Offer资格，并保留前后证据。</x:v>
      </x:c>
      <x:c r="H2" s="7" t="str">
        <x:v>目标迁移时必须同步迁移预算与Offer资格，并保留前后证据。</x:v>
      </x:c>
    </x:row>
    <x:row r="5">
      <x:c r="A5" s="12" t="str">
        <x:v>Listing</x:v>
      </x:c>
      <x:c r="B5" s="12" t="str">
        <x:v>Units目标</x:v>
      </x:c>
      <x:c r="C5" s="12" t="str">
        <x:v>基础广告容量</x:v>
      </x:c>
      <x:c r="D5" s="12" t="str">
        <x:v>角色</x:v>
      </x:c>
      <x:c r="E5" s="12" t="str">
        <x:v>执行边界</x:v>
      </x:c>
      <x:c r="F5" s="12" t="str">
        <x:v>实际Units</x:v>
      </x:c>
      <x:c r="G5" s="12" t="str">
        <x:v>目标差异</x:v>
      </x:c>
      <x:c r="H5" s="12" t="str">
        <x:v>状态/决定</x:v>
      </x:c>
    </x:row>
    <x:row r="6">
      <x:c r="A6" s="18" t="str">
        <x:v>DMOM1021</x:v>
      </x:c>
      <x:c r="B6" s="18" t="str">
        <x:v>50</x:v>
      </x:c>
      <x:c r="C6" s="18" t="str">
        <x:v>$700</x:v>
      </x:c>
      <x:c r="D6" s="18" t="str">
        <x:v>第一主力；Keyword收割、Product发现、B2B承接</x:v>
      </x:c>
      <x:c r="E6" s="18" t="str">
        <x:v>评分4.46；确认LFC-2B/2W库存覆盖</x:v>
      </x:c>
      <x:c r="F6" s="20" t="str"/>
      <x:c r="G6" s="18" t="n">
        <x:f>F6-B6</x:f>
        <x:v>-50</x:v>
      </x:c>
      <x:c r="H6" s="20" t="str">
        <x:v>待跟踪</x:v>
      </x:c>
    </x:row>
    <x:row r="7">
      <x:c r="A7" s="19" t="str">
        <x:v>DMOM1022</x:v>
      </x:c>
      <x:c r="B7" s="19" t="str">
        <x:v>30</x:v>
      </x:c>
      <x:c r="C7" s="19" t="str">
        <x:v>$340</x:v>
      </x:c>
      <x:c r="D7" s="19" t="str">
        <x:v>第二主力；确认后放量</x:v>
      </x:c>
      <x:c r="E7" s="19" t="str">
        <x:v>核带连字符Live Part与库存映射</x:v>
      </x:c>
      <x:c r="F7" s="21" t="str"/>
      <x:c r="G7" s="19" t="n">
        <x:f>F7-B7</x:f>
        <x:v>-30</x:v>
      </x:c>
      <x:c r="H7" s="21" t="str">
        <x:v>待跟踪</x:v>
      </x:c>
    </x:row>
    <x:row r="8">
      <x:c r="A8" s="19" t="str">
        <x:v>DMOM1019</x:v>
      </x:c>
      <x:c r="B8" s="19" t="str">
        <x:v>21</x:v>
      </x:c>
      <x:c r="C8" s="19" t="str">
        <x:v>$290</x:v>
      </x:c>
      <x:c r="D8" s="19" t="str">
        <x:v>Keyword优先；Product仅保留发现流量</x:v>
      </x:c>
      <x:c r="E8" s="19" t="str">
        <x:v>评分4.8；Keyword历史ROAS 4.84×</x:v>
      </x:c>
      <x:c r="F8" s="21" t="str"/>
      <x:c r="G8" s="19" t="n">
        <x:f>F8-B8</x:f>
        <x:v>-21</x:v>
      </x:c>
      <x:c r="H8" s="21" t="str">
        <x:v>待跟踪</x:v>
      </x:c>
    </x:row>
    <x:row r="9">
      <x:c r="A9" s="19" t="str">
        <x:v>DMOM1003</x:v>
      </x:c>
      <x:c r="B9" s="19" t="str">
        <x:v>18</x:v>
      </x:c>
      <x:c r="C9" s="19" t="str">
        <x:v>$140</x:v>
      </x:c>
      <x:c r="D9" s="19" t="str">
        <x:v>季节性测试池；严格控制集中风险</x:v>
      </x:c>
      <x:c r="E9" s="19" t="str">
        <x:v>4T-Kayak仅1个有货ID</x:v>
      </x:c>
      <x:c r="F9" s="21" t="str"/>
      <x:c r="G9" s="19" t="n">
        <x:f>F9-B9</x:f>
        <x:v>-18</x:v>
      </x:c>
      <x:c r="H9" s="21" t="str">
        <x:v>待跟踪</x:v>
      </x:c>
    </x:row>
    <x:row r="10">
      <x:c r="A10" s="19" t="str">
        <x:v>DMOM1018</x:v>
      </x:c>
      <x:c r="B10" s="19" t="str">
        <x:v>9</x:v>
      </x:c>
      <x:c r="C10" s="19" t="str">
        <x:v>$30</x:v>
      </x:c>
      <x:c r="D10" s="19" t="str">
        <x:v>自然单为主；广告只做修复后小测</x:v>
      </x:c>
      <x:c r="E10" s="19" t="str">
        <x:v>现有CVR弱，不追量</x:v>
      </x:c>
      <x:c r="F10" s="21" t="str"/>
      <x:c r="G10" s="19" t="n">
        <x:f>F10-B10</x:f>
        <x:v>-9</x:v>
      </x:c>
      <x:c r="H10" s="21" t="str">
        <x:v>待跟踪</x:v>
      </x:c>
    </x:row>
    <x:row r="11">
      <x:c r="A11" s="19" t="str">
        <x:v>DMOM1017</x:v>
      </x:c>
      <x:c r="B11" s="19" t="str">
        <x:v>6</x:v>
      </x:c>
      <x:c r="C11" s="19" t="str">
        <x:v>$10</x:v>
      </x:c>
      <x:c r="D11" s="19" t="str">
        <x:v>严格限额并催评</x:v>
      </x:c>
      <x:c r="E11" s="19" t="str">
        <x:v>评分4.0且仅1评</x:v>
      </x:c>
      <x:c r="F11" s="21" t="str"/>
      <x:c r="G11" s="19" t="n">
        <x:f>F11-B11</x:f>
        <x:v>-6</x:v>
      </x:c>
      <x:c r="H11" s="21" t="str">
        <x:v>待跟踪</x:v>
      </x:c>
    </x:row>
    <x:row r="12">
      <x:c r="A12" s="19" t="str">
        <x:v>DMOM1000</x:v>
      </x:c>
      <x:c r="B12" s="19" t="str">
        <x:v>6</x:v>
      </x:c>
      <x:c r="C12" s="19" t="str">
        <x:v>$10</x:v>
      </x:c>
      <x:c r="D12" s="19" t="str">
        <x:v>状态修复后小测</x:v>
      </x:c>
      <x:c r="E12" s="19" t="str">
        <x:v>Reviewing/Rejected未清零前不启Offer</x:v>
      </x:c>
      <x:c r="F12" s="21" t="str"/>
      <x:c r="G12" s="19" t="n">
        <x:f>F12-B12</x:f>
        <x:v>-6</x:v>
      </x:c>
      <x:c r="H12" s="21" t="str">
        <x:v>待跟踪</x:v>
      </x:c>
    </x:row>
    <x:row r="13">
      <x:c r="A13" s="19" t="str">
        <x:v>DMOM1025</x:v>
      </x:c>
      <x:c r="B13" s="19" t="str">
        <x:v>4</x:v>
      </x:c>
      <x:c r="C13" s="19" t="str">
        <x:v>$0</x:v>
      </x:c>
      <x:c r="D13" s="19" t="str">
        <x:v>自然观察与修复</x:v>
      </x:c>
      <x:c r="E13" s="19" t="str">
        <x:v>评分4.0；近28天广告0单</x:v>
      </x:c>
      <x:c r="F13" s="21" t="str"/>
      <x:c r="G13" s="19" t="n">
        <x:f>F13-B13</x:f>
        <x:v>-4</x:v>
      </x:c>
      <x:c r="H13" s="21" t="str">
        <x:v>待跟踪</x:v>
      </x:c>
    </x:row>
    <x:row r="14">
      <x:c r="A14" s="19" t="str">
        <x:v>DMOM1026</x:v>
      </x:c>
      <x:c r="B14" s="19" t="str">
        <x:v>4</x:v>
      </x:c>
      <x:c r="C14" s="19" t="str">
        <x:v>$0</x:v>
      </x:c>
      <x:c r="D14" s="19" t="str">
        <x:v>自然观察</x:v>
      </x:c>
      <x:c r="E14" s="19" t="str">
        <x:v>评论仅3条、当前转化弱</x:v>
      </x:c>
      <x:c r="F14" s="21" t="str"/>
      <x:c r="G14" s="19" t="n">
        <x:f>F14-B14</x:f>
        <x:v>-4</x:v>
      </x:c>
      <x:c r="H14" s="21" t="str">
        <x:v>待跟踪</x:v>
      </x:c>
    </x:row>
    <x:row r="15">
      <x:c r="A15" s="19" t="str">
        <x:v>DMOM1016</x:v>
      </x:c>
      <x:c r="B15" s="19" t="str">
        <x:v>2</x:v>
      </x:c>
      <x:c r="C15" s="19" t="str">
        <x:v>$0</x:v>
      </x:c>
      <x:c r="D15" s="19" t="str">
        <x:v>自然替补池</x:v>
      </x:c>
      <x:c r="E15" s="19" t="str">
        <x:v>5T-wangge有货信号稳定</x:v>
      </x:c>
      <x:c r="F15" s="21" t="str"/>
      <x:c r="G15" s="19" t="n">
        <x:f>F15-B15</x:f>
        <x:v>-2</x:v>
      </x:c>
      <x:c r="H15" s="21" t="str">
        <x:v>待跟踪</x:v>
      </x:c>
    </x:row>
    <x:row r="16">
      <x:c r="A16" s="19" t="str">
        <x:v>DRCI1007</x:v>
      </x:c>
      <x:c r="B16" s="19" t="str">
        <x:v>0</x:v>
      </x:c>
      <x:c r="C16" s="19" t="str">
        <x:v>$0</x:v>
      </x:c>
      <x:c r="D16" s="19" t="str">
        <x:v>永久退出</x:v>
      </x:c>
      <x:c r="E16" s="19" t="str">
        <x:v>不得重新加入目标、广告、关键词或Offer池</x:v>
      </x:c>
      <x:c r="F16" s="21" t="str"/>
      <x:c r="G16" s="19" t="n">
        <x:f>F16-B16</x:f>
        <x:v>0</x:v>
      </x:c>
      <x:c r="H16" s="21" t="str">
        <x:v>待跟踪</x:v>
      </x:c>
    </x:row>
  </x:sheetData>
  <x:mergeCells>
    <x:mergeCell ref="A1:H1"/>
    <x:mergeCell ref="A2:H2"/>
  </x:mergeCells>
  <x:conditionalFormatting sqref="G6:G16">
    <x:cfRule type="cellIs" dxfId="6" priority="1" operator="lessThan">
      <x:formula>0</x:formula>
    </x:cfRule>
  </x:conditionalFormatting>
  <x:dataValidations count="1">
    <x:dataValidation type="list" sqref="H6:H16">
      <x:formula1>"待跟踪,正常,限额,暂停,目标迁移,永久退出"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699ddca6f946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8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5" hidden="0" customWidth="1"/>
    <x:col min="10" max="10" width="15" hidden="0" customWidth="1"/>
    <x:col min="11" max="11" width="13" hidden="0" customWidth="1"/>
    <x:col min="12" max="12" width="13" hidden="0" customWidth="1"/>
    <x:col min="13" max="13" width="28" hidden="0" customWidth="1"/>
    <x:col min="14" max="14" width="28" hidden="0" customWidth="1"/>
    <x:col min="15" max="15" width="15" hidden="0" customWidth="1"/>
    <x:col min="16" max="16" width="14" hidden="0" customWidth="1"/>
    <x:col min="17" max="17" width="15" hidden="0" customWidth="1"/>
    <x:col min="18" max="18" width="26" hidden="0" customWidth="1"/>
  </x:cols>
  <x:sheetData>
    <x:row r="1" ht="34" customHeight="1">
      <x:c r="A1" s="4" t="str">
        <x:v>YB店｜决策与实验账本</x:v>
      </x:c>
      <x:c r="B1" s="4" t="str">
        <x:v>YB店｜决策与实验账本</x:v>
      </x:c>
      <x:c r="C1" s="4" t="str">
        <x:v>YB店｜决策与实验账本</x:v>
      </x:c>
      <x:c r="D1" s="4" t="str">
        <x:v>YB店｜决策与实验账本</x:v>
      </x:c>
      <x:c r="E1" s="4" t="str">
        <x:v>YB店｜决策与实验账本</x:v>
      </x:c>
      <x:c r="F1" s="4" t="str">
        <x:v>YB店｜决策与实验账本</x:v>
      </x:c>
      <x:c r="G1" s="4" t="str">
        <x:v>YB店｜决策与实验账本</x:v>
      </x:c>
      <x:c r="H1" s="4" t="str">
        <x:v>YB店｜决策与实验账本</x:v>
      </x:c>
      <x:c r="I1" s="4" t="str">
        <x:v>YB店｜决策与实验账本</x:v>
      </x:c>
      <x:c r="J1" s="4" t="str">
        <x:v>YB店｜决策与实验账本</x:v>
      </x:c>
      <x:c r="K1" s="4" t="str">
        <x:v>YB店｜决策与实验账本</x:v>
      </x:c>
      <x:c r="L1" s="4" t="str">
        <x:v>YB店｜决策与实验账本</x:v>
      </x:c>
      <x:c r="M1" s="4" t="str">
        <x:v>YB店｜决策与实验账本</x:v>
      </x:c>
      <x:c r="N1" s="4" t="str">
        <x:v>YB店｜决策与实验账本</x:v>
      </x:c>
      <x:c r="O1" s="4" t="str">
        <x:v>YB店｜决策与实验账本</x:v>
      </x:c>
      <x:c r="P1" s="4" t="str">
        <x:v>YB店｜决策与实验账本</x:v>
      </x:c>
      <x:c r="Q1" s="4" t="str">
        <x:v>YB店｜决策与实验账本</x:v>
      </x:c>
      <x:c r="R1" s="4" t="str">
        <x:v>YB店｜决策与实验账本</x:v>
      </x:c>
    </x:row>
    <x:row r="2" ht="24" customHeight="1">
      <x:c r="A2" s="7" t="str">
        <x:v>一行一个Operation；单变量、成熟观察窗、证据、验收和学习决定缺一不可。</x:v>
      </x:c>
      <x:c r="B2" s="7" t="str">
        <x:v>一行一个Operation；单变量、成熟观察窗、证据、验收和学习决定缺一不可。</x:v>
      </x:c>
      <x:c r="C2" s="7" t="str">
        <x:v>一行一个Operation；单变量、成熟观察窗、证据、验收和学习决定缺一不可。</x:v>
      </x:c>
      <x:c r="D2" s="7" t="str">
        <x:v>一行一个Operation；单变量、成熟观察窗、证据、验收和学习决定缺一不可。</x:v>
      </x:c>
      <x:c r="E2" s="7" t="str">
        <x:v>一行一个Operation；单变量、成熟观察窗、证据、验收和学习决定缺一不可。</x:v>
      </x:c>
      <x:c r="F2" s="7" t="str">
        <x:v>一行一个Operation；单变量、成熟观察窗、证据、验收和学习决定缺一不可。</x:v>
      </x:c>
      <x:c r="G2" s="7" t="str">
        <x:v>一行一个Operation；单变量、成熟观察窗、证据、验收和学习决定缺一不可。</x:v>
      </x:c>
      <x:c r="H2" s="7" t="str">
        <x:v>一行一个Operation；单变量、成熟观察窗、证据、验收和学习决定缺一不可。</x:v>
      </x:c>
      <x:c r="I2" s="7" t="str">
        <x:v>一行一个Operation；单变量、成熟观察窗、证据、验收和学习决定缺一不可。</x:v>
      </x:c>
      <x:c r="J2" s="7" t="str">
        <x:v>一行一个Operation；单变量、成熟观察窗、证据、验收和学习决定缺一不可。</x:v>
      </x:c>
      <x:c r="K2" s="7" t="str">
        <x:v>一行一个Operation；单变量、成熟观察窗、证据、验收和学习决定缺一不可。</x:v>
      </x:c>
      <x:c r="L2" s="7" t="str">
        <x:v>一行一个Operation；单变量、成熟观察窗、证据、验收和学习决定缺一不可。</x:v>
      </x:c>
      <x:c r="M2" s="7" t="str">
        <x:v>一行一个Operation；单变量、成熟观察窗、证据、验收和学习决定缺一不可。</x:v>
      </x:c>
      <x:c r="N2" s="7" t="str">
        <x:v>一行一个Operation；单变量、成熟观察窗、证据、验收和学习决定缺一不可。</x:v>
      </x:c>
      <x:c r="O2" s="7" t="str">
        <x:v>一行一个Operation；单变量、成熟观察窗、证据、验收和学习决定缺一不可。</x:v>
      </x:c>
      <x:c r="P2" s="7" t="str">
        <x:v>一行一个Operation；单变量、成熟观察窗、证据、验收和学习决定缺一不可。</x:v>
      </x:c>
      <x:c r="Q2" s="7" t="str">
        <x:v>一行一个Operation；单变量、成熟观察窗、证据、验收和学习决定缺一不可。</x:v>
      </x:c>
      <x:c r="R2" s="7" t="str">
        <x:v>一行一个Operation；单变量、成熟观察窗、证据、验收和学习决定缺一不可。</x:v>
      </x:c>
    </x:row>
    <x:row r="5">
      <x:c r="A5" s="12" t="str">
        <x:v>Operation ID</x:v>
      </x:c>
      <x:c r="B5" s="12" t="str">
        <x:v>日期</x:v>
      </x:c>
      <x:c r="C5" s="12" t="str">
        <x:v>业务对象</x:v>
      </x:c>
      <x:c r="D5" s="12" t="str">
        <x:v>问题/机会</x:v>
      </x:c>
      <x:c r="E5" s="12" t="str">
        <x:v>假设</x:v>
      </x:c>
      <x:c r="F5" s="12" t="str">
        <x:v>单一变量</x:v>
      </x:c>
      <x:c r="G5" s="12" t="str">
        <x:v>目标指标</x:v>
      </x:c>
      <x:c r="H5" s="12" t="str">
        <x:v>护栏</x:v>
      </x:c>
      <x:c r="I5" s="12" t="str">
        <x:v>执行前值</x:v>
      </x:c>
      <x:c r="J5" s="12" t="str">
        <x:v>执行后值</x:v>
      </x:c>
      <x:c r="K5" s="12" t="str">
        <x:v>观察窗</x:v>
      </x:c>
      <x:c r="L5" s="12" t="str">
        <x:v>状态</x:v>
      </x:c>
      <x:c r="M5" s="12" t="str">
        <x:v>结果</x:v>
      </x:c>
      <x:c r="N5" s="12" t="str">
        <x:v>证据</x:v>
      </x:c>
      <x:c r="O5" s="12" t="str">
        <x:v>验收人</x:v>
      </x:c>
      <x:c r="P5" s="12" t="str">
        <x:v>成熟复盘日</x:v>
      </x:c>
      <x:c r="Q5" s="12" t="str">
        <x:v>学习决定</x:v>
      </x:c>
      <x:c r="R5" s="12" t="str">
        <x:v>规则ID/备注</x:v>
      </x:c>
    </x:row>
    <x:row r="6">
      <x:c r="A6" s="20" t="str"/>
      <x:c r="B6" s="39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  <x:c r="N6" s="20" t="str"/>
      <x:c r="O6" s="20" t="str"/>
      <x:c r="P6" s="39" t="str"/>
      <x:c r="Q6" s="20" t="str"/>
      <x:c r="R6" s="20" t="str"/>
    </x:row>
    <x:row r="7">
      <x:c r="A7" s="21" t="str"/>
      <x:c r="B7" s="40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  <x:c r="L7" s="21" t="str"/>
      <x:c r="M7" s="21" t="str"/>
      <x:c r="N7" s="21" t="str"/>
      <x:c r="O7" s="21" t="str"/>
      <x:c r="P7" s="40" t="str"/>
      <x:c r="Q7" s="21" t="str"/>
      <x:c r="R7" s="21" t="str"/>
    </x:row>
    <x:row r="8">
      <x:c r="A8" s="21" t="str"/>
      <x:c r="B8" s="40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  <x:c r="L8" s="21" t="str"/>
      <x:c r="M8" s="21" t="str"/>
      <x:c r="N8" s="21" t="str"/>
      <x:c r="O8" s="21" t="str"/>
      <x:c r="P8" s="40" t="str"/>
      <x:c r="Q8" s="21" t="str"/>
      <x:c r="R8" s="21" t="str"/>
    </x:row>
    <x:row r="9">
      <x:c r="A9" s="21" t="str"/>
      <x:c r="B9" s="40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1" t="str"/>
      <x:c r="M9" s="21" t="str"/>
      <x:c r="N9" s="21" t="str"/>
      <x:c r="O9" s="21" t="str"/>
      <x:c r="P9" s="40" t="str"/>
      <x:c r="Q9" s="21" t="str"/>
      <x:c r="R9" s="21" t="str"/>
    </x:row>
    <x:row r="10">
      <x:c r="A10" s="21" t="str"/>
      <x:c r="B10" s="40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1" t="str"/>
      <x:c r="N10" s="21" t="str"/>
      <x:c r="O10" s="21" t="str"/>
      <x:c r="P10" s="40" t="str"/>
      <x:c r="Q10" s="21" t="str"/>
      <x:c r="R10" s="21" t="str"/>
    </x:row>
    <x:row r="11">
      <x:c r="A11" s="21" t="str"/>
      <x:c r="B11" s="40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1" t="str"/>
      <x:c r="N11" s="21" t="str"/>
      <x:c r="O11" s="21" t="str"/>
      <x:c r="P11" s="40" t="str"/>
      <x:c r="Q11" s="21" t="str"/>
      <x:c r="R11" s="21" t="str"/>
    </x:row>
    <x:row r="12">
      <x:c r="A12" s="21" t="str"/>
      <x:c r="B12" s="40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1" t="str"/>
      <x:c r="M12" s="21" t="str"/>
      <x:c r="N12" s="21" t="str"/>
      <x:c r="O12" s="21" t="str"/>
      <x:c r="P12" s="40" t="str"/>
      <x:c r="Q12" s="21" t="str"/>
      <x:c r="R12" s="21" t="str"/>
    </x:row>
    <x:row r="13">
      <x:c r="A13" s="21" t="str"/>
      <x:c r="B13" s="40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1" t="str"/>
      <x:c r="N13" s="21" t="str"/>
      <x:c r="O13" s="21" t="str"/>
      <x:c r="P13" s="40" t="str"/>
      <x:c r="Q13" s="21" t="str"/>
      <x:c r="R13" s="21" t="str"/>
    </x:row>
    <x:row r="14">
      <x:c r="A14" s="21" t="str"/>
      <x:c r="B14" s="40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21" t="str"/>
      <x:c r="M14" s="21" t="str"/>
      <x:c r="N14" s="21" t="str"/>
      <x:c r="O14" s="21" t="str"/>
      <x:c r="P14" s="40" t="str"/>
      <x:c r="Q14" s="21" t="str"/>
      <x:c r="R14" s="21" t="str"/>
    </x:row>
    <x:row r="15">
      <x:c r="A15" s="21" t="str"/>
      <x:c r="B15" s="40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1" t="str"/>
      <x:c r="N15" s="21" t="str"/>
      <x:c r="O15" s="21" t="str"/>
      <x:c r="P15" s="40" t="str"/>
      <x:c r="Q15" s="21" t="str"/>
      <x:c r="R15" s="21" t="str"/>
    </x:row>
    <x:row r="16">
      <x:c r="A16" s="21" t="str"/>
      <x:c r="B16" s="40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1" t="str"/>
      <x:c r="N16" s="21" t="str"/>
      <x:c r="O16" s="21" t="str"/>
      <x:c r="P16" s="40" t="str"/>
      <x:c r="Q16" s="21" t="str"/>
      <x:c r="R16" s="21" t="str"/>
    </x:row>
    <x:row r="17">
      <x:c r="A17" s="21" t="str"/>
      <x:c r="B17" s="40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1" t="str"/>
      <x:c r="N17" s="21" t="str"/>
      <x:c r="O17" s="21" t="str"/>
      <x:c r="P17" s="40" t="str"/>
      <x:c r="Q17" s="21" t="str"/>
      <x:c r="R17" s="21" t="str"/>
    </x:row>
    <x:row r="18">
      <x:c r="A18" s="21" t="str"/>
      <x:c r="B18" s="40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1" t="str"/>
      <x:c r="N18" s="21" t="str"/>
      <x:c r="O18" s="21" t="str"/>
      <x:c r="P18" s="40" t="str"/>
      <x:c r="Q18" s="21" t="str"/>
      <x:c r="R18" s="21" t="str"/>
    </x:row>
    <x:row r="19">
      <x:c r="A19" s="21" t="str"/>
      <x:c r="B19" s="40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/>
      <x:c r="O19" s="21" t="str"/>
      <x:c r="P19" s="40" t="str"/>
      <x:c r="Q19" s="21" t="str"/>
      <x:c r="R19" s="21" t="str"/>
    </x:row>
    <x:row r="20">
      <x:c r="A20" s="21" t="str"/>
      <x:c r="B20" s="40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/>
      <x:c r="O20" s="21" t="str"/>
      <x:c r="P20" s="40" t="str"/>
      <x:c r="Q20" s="21" t="str"/>
      <x:c r="R20" s="21" t="str"/>
    </x:row>
    <x:row r="21">
      <x:c r="A21" s="21" t="str"/>
      <x:c r="B21" s="40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/>
      <x:c r="O21" s="21" t="str"/>
      <x:c r="P21" s="40" t="str"/>
      <x:c r="Q21" s="21" t="str"/>
      <x:c r="R21" s="21" t="str"/>
    </x:row>
    <x:row r="22">
      <x:c r="A22" s="21" t="str"/>
      <x:c r="B22" s="40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/>
      <x:c r="N22" s="21" t="str"/>
      <x:c r="O22" s="21" t="str"/>
      <x:c r="P22" s="40" t="str"/>
      <x:c r="Q22" s="21" t="str"/>
      <x:c r="R22" s="21" t="str"/>
    </x:row>
    <x:row r="23">
      <x:c r="A23" s="21" t="str"/>
      <x:c r="B23" s="40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1" t="str"/>
      <x:c r="N23" s="21" t="str"/>
      <x:c r="O23" s="21" t="str"/>
      <x:c r="P23" s="40" t="str"/>
      <x:c r="Q23" s="21" t="str"/>
      <x:c r="R23" s="21" t="str"/>
    </x:row>
    <x:row r="24">
      <x:c r="A24" s="21" t="str"/>
      <x:c r="B24" s="40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  <x:c r="O24" s="21" t="str"/>
      <x:c r="P24" s="40" t="str"/>
      <x:c r="Q24" s="21" t="str"/>
      <x:c r="R24" s="21" t="str"/>
    </x:row>
    <x:row r="25">
      <x:c r="A25" s="21" t="str"/>
      <x:c r="B25" s="40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  <x:c r="L25" s="21" t="str"/>
      <x:c r="M25" s="21" t="str"/>
      <x:c r="N25" s="21" t="str"/>
      <x:c r="O25" s="21" t="str"/>
      <x:c r="P25" s="40" t="str"/>
      <x:c r="Q25" s="21" t="str"/>
      <x:c r="R25" s="21" t="str"/>
    </x:row>
    <x:row r="26">
      <x:c r="A26" s="21" t="str"/>
      <x:c r="B26" s="40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  <x:c r="L26" s="21" t="str"/>
      <x:c r="M26" s="21" t="str"/>
      <x:c r="N26" s="21" t="str"/>
      <x:c r="O26" s="21" t="str"/>
      <x:c r="P26" s="40" t="str"/>
      <x:c r="Q26" s="21" t="str"/>
      <x:c r="R26" s="21" t="str"/>
    </x:row>
    <x:row r="27">
      <x:c r="A27" s="21" t="str"/>
      <x:c r="B27" s="40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  <x:c r="K27" s="21" t="str"/>
      <x:c r="L27" s="21" t="str"/>
      <x:c r="M27" s="21" t="str"/>
      <x:c r="N27" s="21" t="str"/>
      <x:c r="O27" s="21" t="str"/>
      <x:c r="P27" s="40" t="str"/>
      <x:c r="Q27" s="21" t="str"/>
      <x:c r="R27" s="21" t="str"/>
    </x:row>
    <x:row r="28">
      <x:c r="A28" s="21" t="str"/>
      <x:c r="B28" s="40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  <x:c r="L28" s="21" t="str"/>
      <x:c r="M28" s="21" t="str"/>
      <x:c r="N28" s="21" t="str"/>
      <x:c r="O28" s="21" t="str"/>
      <x:c r="P28" s="40" t="str"/>
      <x:c r="Q28" s="21" t="str"/>
      <x:c r="R28" s="21" t="str"/>
    </x:row>
    <x:row r="29">
      <x:c r="A29" s="21" t="str"/>
      <x:c r="B29" s="40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  <x:c r="L29" s="21" t="str"/>
      <x:c r="M29" s="21" t="str"/>
      <x:c r="N29" s="21" t="str"/>
      <x:c r="O29" s="21" t="str"/>
      <x:c r="P29" s="40" t="str"/>
      <x:c r="Q29" s="21" t="str"/>
      <x:c r="R29" s="21" t="str"/>
    </x:row>
    <x:row r="30">
      <x:c r="A30" s="21" t="str"/>
      <x:c r="B30" s="40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  <x:c r="L30" s="21" t="str"/>
      <x:c r="M30" s="21" t="str"/>
      <x:c r="N30" s="21" t="str"/>
      <x:c r="O30" s="21" t="str"/>
      <x:c r="P30" s="40" t="str"/>
      <x:c r="Q30" s="21" t="str"/>
      <x:c r="R30" s="21" t="str"/>
    </x:row>
    <x:row r="31">
      <x:c r="A31" s="21" t="str"/>
      <x:c r="B31" s="40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  <x:c r="L31" s="21" t="str"/>
      <x:c r="M31" s="21" t="str"/>
      <x:c r="N31" s="21" t="str"/>
      <x:c r="O31" s="21" t="str"/>
      <x:c r="P31" s="40" t="str"/>
      <x:c r="Q31" s="21" t="str"/>
      <x:c r="R31" s="21" t="str"/>
    </x:row>
    <x:row r="32">
      <x:c r="A32" s="21" t="str"/>
      <x:c r="B32" s="40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  <x:c r="K32" s="21" t="str"/>
      <x:c r="L32" s="21" t="str"/>
      <x:c r="M32" s="21" t="str"/>
      <x:c r="N32" s="21" t="str"/>
      <x:c r="O32" s="21" t="str"/>
      <x:c r="P32" s="40" t="str"/>
      <x:c r="Q32" s="21" t="str"/>
      <x:c r="R32" s="21" t="str"/>
    </x:row>
    <x:row r="33">
      <x:c r="A33" s="21" t="str"/>
      <x:c r="B33" s="40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  <x:c r="K33" s="21" t="str"/>
      <x:c r="L33" s="21" t="str"/>
      <x:c r="M33" s="21" t="str"/>
      <x:c r="N33" s="21" t="str"/>
      <x:c r="O33" s="21" t="str"/>
      <x:c r="P33" s="40" t="str"/>
      <x:c r="Q33" s="21" t="str"/>
      <x:c r="R33" s="21" t="str"/>
    </x:row>
    <x:row r="34">
      <x:c r="A34" s="21" t="str"/>
      <x:c r="B34" s="40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1" t="str"/>
      <x:c r="K34" s="21" t="str"/>
      <x:c r="L34" s="21" t="str"/>
      <x:c r="M34" s="21" t="str"/>
      <x:c r="N34" s="21" t="str"/>
      <x:c r="O34" s="21" t="str"/>
      <x:c r="P34" s="40" t="str"/>
      <x:c r="Q34" s="21" t="str"/>
      <x:c r="R34" s="21" t="str"/>
    </x:row>
    <x:row r="35">
      <x:c r="A35" s="21" t="str"/>
      <x:c r="B35" s="40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  <x:c r="K35" s="21" t="str"/>
      <x:c r="L35" s="21" t="str"/>
      <x:c r="M35" s="21" t="str"/>
      <x:c r="N35" s="21" t="str"/>
      <x:c r="O35" s="21" t="str"/>
      <x:c r="P35" s="40" t="str"/>
      <x:c r="Q35" s="21" t="str"/>
      <x:c r="R35" s="21" t="str"/>
    </x:row>
    <x:row r="36">
      <x:c r="A36" s="21" t="str"/>
      <x:c r="B36" s="40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1" t="str"/>
      <x:c r="K36" s="21" t="str"/>
      <x:c r="L36" s="21" t="str"/>
      <x:c r="M36" s="21" t="str"/>
      <x:c r="N36" s="21" t="str"/>
      <x:c r="O36" s="21" t="str"/>
      <x:c r="P36" s="40" t="str"/>
      <x:c r="Q36" s="21" t="str"/>
      <x:c r="R36" s="21" t="str"/>
    </x:row>
    <x:row r="37">
      <x:c r="A37" s="21" t="str"/>
      <x:c r="B37" s="40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  <x:c r="K37" s="21" t="str"/>
      <x:c r="L37" s="21" t="str"/>
      <x:c r="M37" s="21" t="str"/>
      <x:c r="N37" s="21" t="str"/>
      <x:c r="O37" s="21" t="str"/>
      <x:c r="P37" s="40" t="str"/>
      <x:c r="Q37" s="21" t="str"/>
      <x:c r="R37" s="21" t="str"/>
    </x:row>
    <x:row r="38">
      <x:c r="A38" s="21" t="str"/>
      <x:c r="B38" s="40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1" t="str"/>
      <x:c r="K38" s="21" t="str"/>
      <x:c r="L38" s="21" t="str"/>
      <x:c r="M38" s="21" t="str"/>
      <x:c r="N38" s="21" t="str"/>
      <x:c r="O38" s="21" t="str"/>
      <x:c r="P38" s="40" t="str"/>
      <x:c r="Q38" s="21" t="str"/>
      <x:c r="R38" s="21" t="str"/>
    </x:row>
    <x:row r="39">
      <x:c r="A39" s="21" t="str"/>
      <x:c r="B39" s="40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1" t="str"/>
      <x:c r="K39" s="21" t="str"/>
      <x:c r="L39" s="21" t="str"/>
      <x:c r="M39" s="21" t="str"/>
      <x:c r="N39" s="21" t="str"/>
      <x:c r="O39" s="21" t="str"/>
      <x:c r="P39" s="40" t="str"/>
      <x:c r="Q39" s="21" t="str"/>
      <x:c r="R39" s="21" t="str"/>
    </x:row>
    <x:row r="40">
      <x:c r="A40" s="21" t="str"/>
      <x:c r="B40" s="40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  <x:c r="L40" s="21" t="str"/>
      <x:c r="M40" s="21" t="str"/>
      <x:c r="N40" s="21" t="str"/>
      <x:c r="O40" s="21" t="str"/>
      <x:c r="P40" s="40" t="str"/>
      <x:c r="Q40" s="21" t="str"/>
      <x:c r="R40" s="21" t="str"/>
    </x:row>
    <x:row r="41">
      <x:c r="A41" s="21" t="str"/>
      <x:c r="B41" s="40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  <x:c r="L41" s="21" t="str"/>
      <x:c r="M41" s="21" t="str"/>
      <x:c r="N41" s="21" t="str"/>
      <x:c r="O41" s="21" t="str"/>
      <x:c r="P41" s="40" t="str"/>
      <x:c r="Q41" s="21" t="str"/>
      <x:c r="R41" s="21" t="str"/>
    </x:row>
    <x:row r="42">
      <x:c r="A42" s="21" t="str"/>
      <x:c r="B42" s="40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  <x:c r="K42" s="21" t="str"/>
      <x:c r="L42" s="21" t="str"/>
      <x:c r="M42" s="21" t="str"/>
      <x:c r="N42" s="21" t="str"/>
      <x:c r="O42" s="21" t="str"/>
      <x:c r="P42" s="40" t="str"/>
      <x:c r="Q42" s="21" t="str"/>
      <x:c r="R42" s="21" t="str"/>
    </x:row>
    <x:row r="43">
      <x:c r="A43" s="21" t="str"/>
      <x:c r="B43" s="40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  <x:c r="K43" s="21" t="str"/>
      <x:c r="L43" s="21" t="str"/>
      <x:c r="M43" s="21" t="str"/>
      <x:c r="N43" s="21" t="str"/>
      <x:c r="O43" s="21" t="str"/>
      <x:c r="P43" s="40" t="str"/>
      <x:c r="Q43" s="21" t="str"/>
      <x:c r="R43" s="21" t="str"/>
    </x:row>
    <x:row r="44">
      <x:c r="A44" s="21" t="str"/>
      <x:c r="B44" s="40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  <x:c r="K44" s="21" t="str"/>
      <x:c r="L44" s="21" t="str"/>
      <x:c r="M44" s="21" t="str"/>
      <x:c r="N44" s="21" t="str"/>
      <x:c r="O44" s="21" t="str"/>
      <x:c r="P44" s="40" t="str"/>
      <x:c r="Q44" s="21" t="str"/>
      <x:c r="R44" s="21" t="str"/>
    </x:row>
    <x:row r="45">
      <x:c r="A45" s="21" t="str"/>
      <x:c r="B45" s="40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  <x:c r="K45" s="21" t="str"/>
      <x:c r="L45" s="21" t="str"/>
      <x:c r="M45" s="21" t="str"/>
      <x:c r="N45" s="21" t="str"/>
      <x:c r="O45" s="21" t="str"/>
      <x:c r="P45" s="40" t="str"/>
      <x:c r="Q45" s="21" t="str"/>
      <x:c r="R45" s="21" t="str"/>
    </x:row>
    <x:row r="46">
      <x:c r="A46" s="21" t="str"/>
      <x:c r="B46" s="40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1" t="str"/>
      <x:c r="K46" s="21" t="str"/>
      <x:c r="L46" s="21" t="str"/>
      <x:c r="M46" s="21" t="str"/>
      <x:c r="N46" s="21" t="str"/>
      <x:c r="O46" s="21" t="str"/>
      <x:c r="P46" s="40" t="str"/>
      <x:c r="Q46" s="21" t="str"/>
      <x:c r="R46" s="21" t="str"/>
    </x:row>
    <x:row r="47">
      <x:c r="A47" s="21" t="str"/>
      <x:c r="B47" s="40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1" t="str"/>
      <x:c r="K47" s="21" t="str"/>
      <x:c r="L47" s="21" t="str"/>
      <x:c r="M47" s="21" t="str"/>
      <x:c r="N47" s="21" t="str"/>
      <x:c r="O47" s="21" t="str"/>
      <x:c r="P47" s="40" t="str"/>
      <x:c r="Q47" s="21" t="str"/>
      <x:c r="R47" s="21" t="str"/>
    </x:row>
    <x:row r="48">
      <x:c r="A48" s="21" t="str"/>
      <x:c r="B48" s="40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  <x:c r="K48" s="21" t="str"/>
      <x:c r="L48" s="21" t="str"/>
      <x:c r="M48" s="21" t="str"/>
      <x:c r="N48" s="21" t="str"/>
      <x:c r="O48" s="21" t="str"/>
      <x:c r="P48" s="40" t="str"/>
      <x:c r="Q48" s="21" t="str"/>
      <x:c r="R48" s="21" t="str"/>
    </x:row>
    <x:row r="49">
      <x:c r="A49" s="21" t="str"/>
      <x:c r="B49" s="40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1" t="str"/>
      <x:c r="K49" s="21" t="str"/>
      <x:c r="L49" s="21" t="str"/>
      <x:c r="M49" s="21" t="str"/>
      <x:c r="N49" s="21" t="str"/>
      <x:c r="O49" s="21" t="str"/>
      <x:c r="P49" s="40" t="str"/>
      <x:c r="Q49" s="21" t="str"/>
      <x:c r="R49" s="21" t="str"/>
    </x:row>
    <x:row r="50">
      <x:c r="A50" s="21" t="str"/>
      <x:c r="B50" s="40" t="str"/>
      <x:c r="C50" s="21" t="str"/>
      <x:c r="D50" s="21" t="str"/>
      <x:c r="E50" s="21" t="str"/>
      <x:c r="F50" s="21" t="str"/>
      <x:c r="G50" s="21" t="str"/>
      <x:c r="H50" s="21" t="str"/>
      <x:c r="I50" s="21" t="str"/>
      <x:c r="J50" s="21" t="str"/>
      <x:c r="K50" s="21" t="str"/>
      <x:c r="L50" s="21" t="str"/>
      <x:c r="M50" s="21" t="str"/>
      <x:c r="N50" s="21" t="str"/>
      <x:c r="O50" s="21" t="str"/>
      <x:c r="P50" s="40" t="str"/>
      <x:c r="Q50" s="21" t="str"/>
      <x:c r="R50" s="21" t="str"/>
    </x:row>
    <x:row r="51">
      <x:c r="A51" s="21" t="str"/>
      <x:c r="B51" s="40" t="str"/>
      <x:c r="C51" s="21" t="str"/>
      <x:c r="D51" s="21" t="str"/>
      <x:c r="E51" s="21" t="str"/>
      <x:c r="F51" s="21" t="str"/>
      <x:c r="G51" s="21" t="str"/>
      <x:c r="H51" s="21" t="str"/>
      <x:c r="I51" s="21" t="str"/>
      <x:c r="J51" s="21" t="str"/>
      <x:c r="K51" s="21" t="str"/>
      <x:c r="L51" s="21" t="str"/>
      <x:c r="M51" s="21" t="str"/>
      <x:c r="N51" s="21" t="str"/>
      <x:c r="O51" s="21" t="str"/>
      <x:c r="P51" s="40" t="str"/>
      <x:c r="Q51" s="21" t="str"/>
      <x:c r="R51" s="21" t="str"/>
    </x:row>
    <x:row r="52">
      <x:c r="A52" s="21" t="str"/>
      <x:c r="B52" s="40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1" t="str"/>
      <x:c r="K52" s="21" t="str"/>
      <x:c r="L52" s="21" t="str"/>
      <x:c r="M52" s="21" t="str"/>
      <x:c r="N52" s="21" t="str"/>
      <x:c r="O52" s="21" t="str"/>
      <x:c r="P52" s="40" t="str"/>
      <x:c r="Q52" s="21" t="str"/>
      <x:c r="R52" s="21" t="str"/>
    </x:row>
    <x:row r="53">
      <x:c r="A53" s="21" t="str"/>
      <x:c r="B53" s="40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1" t="str"/>
      <x:c r="K53" s="21" t="str"/>
      <x:c r="L53" s="21" t="str"/>
      <x:c r="M53" s="21" t="str"/>
      <x:c r="N53" s="21" t="str"/>
      <x:c r="O53" s="21" t="str"/>
      <x:c r="P53" s="40" t="str"/>
      <x:c r="Q53" s="21" t="str"/>
      <x:c r="R53" s="21" t="str"/>
    </x:row>
    <x:row r="54">
      <x:c r="A54" s="21" t="str"/>
      <x:c r="B54" s="40" t="str"/>
      <x:c r="C54" s="21" t="str"/>
      <x:c r="D54" s="21" t="str"/>
      <x:c r="E54" s="21" t="str"/>
      <x:c r="F54" s="21" t="str"/>
      <x:c r="G54" s="21" t="str"/>
      <x:c r="H54" s="21" t="str"/>
      <x:c r="I54" s="21" t="str"/>
      <x:c r="J54" s="21" t="str"/>
      <x:c r="K54" s="21" t="str"/>
      <x:c r="L54" s="21" t="str"/>
      <x:c r="M54" s="21" t="str"/>
      <x:c r="N54" s="21" t="str"/>
      <x:c r="O54" s="21" t="str"/>
      <x:c r="P54" s="40" t="str"/>
      <x:c r="Q54" s="21" t="str"/>
      <x:c r="R54" s="21" t="str"/>
    </x:row>
    <x:row r="55">
      <x:c r="A55" s="21" t="str"/>
      <x:c r="B55" s="40" t="str"/>
      <x:c r="C55" s="21" t="str"/>
      <x:c r="D55" s="21" t="str"/>
      <x:c r="E55" s="21" t="str"/>
      <x:c r="F55" s="21" t="str"/>
      <x:c r="G55" s="21" t="str"/>
      <x:c r="H55" s="21" t="str"/>
      <x:c r="I55" s="21" t="str"/>
      <x:c r="J55" s="21" t="str"/>
      <x:c r="K55" s="21" t="str"/>
      <x:c r="L55" s="21" t="str"/>
      <x:c r="M55" s="21" t="str"/>
      <x:c r="N55" s="21" t="str"/>
      <x:c r="O55" s="21" t="str"/>
      <x:c r="P55" s="40" t="str"/>
      <x:c r="Q55" s="21" t="str"/>
      <x:c r="R55" s="21" t="str"/>
    </x:row>
  </x:sheetData>
  <x:mergeCells>
    <x:mergeCell ref="A1:R1"/>
    <x:mergeCell ref="A2:R2"/>
  </x:mergeCells>
  <x:dataValidations count="2">
    <x:dataValidation type="list" sqref="L6:L55">
      <x:formula1>"候选,待审批,执行中,观察中,待验收,已验证,回退,关闭"</x:formula1>
    </x:dataValidation>
    <x:dataValidation type="list" sqref="Q6:Q55">
      <x:formula1>"观察,继续,放量,回退,结束,升级SOP,保留,退休"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fed8acf3b549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3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2" hidden="0" customWidth="1"/>
    <x:col min="11" max="11" width="15" hidden="0" customWidth="1"/>
    <x:col min="12" max="12" width="13" hidden="0" customWidth="1"/>
    <x:col min="13" max="13" width="24" hidden="0" customWidth="1"/>
  </x:cols>
  <x:sheetData>
    <x:row r="1" ht="34" customHeight="1">
      <x:c r="A1" s="4" t="str">
        <x:v>YB店｜SOP规则版本</x:v>
      </x:c>
      <x:c r="B1" s="4" t="str">
        <x:v>YB店｜SOP规则版本</x:v>
      </x:c>
      <x:c r="C1" s="4" t="str">
        <x:v>YB店｜SOP规则版本</x:v>
      </x:c>
      <x:c r="D1" s="4" t="str">
        <x:v>YB店｜SOP规则版本</x:v>
      </x:c>
      <x:c r="E1" s="4" t="str">
        <x:v>YB店｜SOP规则版本</x:v>
      </x:c>
      <x:c r="F1" s="4" t="str">
        <x:v>YB店｜SOP规则版本</x:v>
      </x:c>
      <x:c r="G1" s="4" t="str">
        <x:v>YB店｜SOP规则版本</x:v>
      </x:c>
      <x:c r="H1" s="4" t="str">
        <x:v>YB店｜SOP规则版本</x:v>
      </x:c>
      <x:c r="I1" s="4" t="str">
        <x:v>YB店｜SOP规则版本</x:v>
      </x:c>
      <x:c r="J1" s="4" t="str">
        <x:v>YB店｜SOP规则版本</x:v>
      </x:c>
      <x:c r="K1" s="4" t="str">
        <x:v>YB店｜SOP规则版本</x:v>
      </x:c>
      <x:c r="L1" s="4" t="str">
        <x:v>YB店｜SOP规则版本</x:v>
      </x:c>
      <x:c r="M1" s="4" t="str">
        <x:v>YB店｜SOP规则版本</x:v>
      </x:c>
    </x:row>
    <x:row r="2" ht="24" customHeight="1">
      <x:c r="A2" s="7" t="str">
        <x:v>旧版本只追加、不覆盖；候选规则必须满足观察窗、证据链和人工批准。</x:v>
      </x:c>
      <x:c r="B2" s="7" t="str">
        <x:v>旧版本只追加、不覆盖；候选规则必须满足观察窗、证据链和人工批准。</x:v>
      </x:c>
      <x:c r="C2" s="7" t="str">
        <x:v>旧版本只追加、不覆盖；候选规则必须满足观察窗、证据链和人工批准。</x:v>
      </x:c>
      <x:c r="D2" s="7" t="str">
        <x:v>旧版本只追加、不覆盖；候选规则必须满足观察窗、证据链和人工批准。</x:v>
      </x:c>
      <x:c r="E2" s="7" t="str">
        <x:v>旧版本只追加、不覆盖；候选规则必须满足观察窗、证据链和人工批准。</x:v>
      </x:c>
      <x:c r="F2" s="7" t="str">
        <x:v>旧版本只追加、不覆盖；候选规则必须满足观察窗、证据链和人工批准。</x:v>
      </x:c>
      <x:c r="G2" s="7" t="str">
        <x:v>旧版本只追加、不覆盖；候选规则必须满足观察窗、证据链和人工批准。</x:v>
      </x:c>
      <x:c r="H2" s="7" t="str">
        <x:v>旧版本只追加、不覆盖；候选规则必须满足观察窗、证据链和人工批准。</x:v>
      </x:c>
      <x:c r="I2" s="7" t="str">
        <x:v>旧版本只追加、不覆盖；候选规则必须满足观察窗、证据链和人工批准。</x:v>
      </x:c>
      <x:c r="J2" s="7" t="str">
        <x:v>旧版本只追加、不覆盖；候选规则必须满足观察窗、证据链和人工批准。</x:v>
      </x:c>
      <x:c r="K2" s="7" t="str">
        <x:v>旧版本只追加、不覆盖；候选规则必须满足观察窗、证据链和人工批准。</x:v>
      </x:c>
      <x:c r="L2" s="7" t="str">
        <x:v>旧版本只追加、不覆盖；候选规则必须满足观察窗、证据链和人工批准。</x:v>
      </x:c>
      <x:c r="M2" s="7" t="str">
        <x:v>旧版本只追加、不覆盖；候选规则必须满足观察窗、证据链和人工批准。</x:v>
      </x:c>
    </x:row>
    <x:row r="5">
      <x:c r="A5" s="12" t="str">
        <x:v>规则ID</x:v>
      </x:c>
      <x:c r="B5" s="12" t="str">
        <x:v>版本</x:v>
      </x:c>
      <x:c r="C5" s="12" t="str">
        <x:v>状态</x:v>
      </x:c>
      <x:c r="D5" s="12" t="str">
        <x:v>生效日</x:v>
      </x:c>
      <x:c r="E5" s="12" t="str">
        <x:v>适用范围</x:v>
      </x:c>
      <x:c r="F5" s="12" t="str">
        <x:v>触发条件</x:v>
      </x:c>
      <x:c r="G5" s="12" t="str">
        <x:v>动作</x:v>
      </x:c>
      <x:c r="H5" s="12" t="str">
        <x:v>停止条件</x:v>
      </x:c>
      <x:c r="I5" s="12" t="str">
        <x:v>回退动作</x:v>
      </x:c>
      <x:c r="J5" s="12" t="str">
        <x:v>证据Operation ID</x:v>
      </x:c>
      <x:c r="K5" s="12" t="str">
        <x:v>批准人</x:v>
      </x:c>
      <x:c r="L5" s="12" t="str">
        <x:v>复盘日</x:v>
      </x:c>
      <x:c r="M5" s="12" t="str">
        <x:v>备注</x:v>
      </x:c>
    </x:row>
    <x:row r="6">
      <x:c r="A6" s="18" t="str">
        <x:v>LR-001</x:v>
      </x:c>
      <x:c r="B6" s="18" t="str">
        <x:v>1.0</x:v>
      </x:c>
      <x:c r="C6" s="18" t="str">
        <x:v>现行</x:v>
      </x:c>
      <x:c r="D6" s="26" t="n">
        <x:v>46235</x:v>
      </x:c>
      <x:c r="E6" s="18" t="str">
        <x:v>YB店月度运营</x:v>
      </x:c>
      <x:c r="F6" s="18" t="str">
        <x:v>数据完整率≥95%，来源、窗口、口径和更新时间齐全</x:v>
      </x:c>
      <x:c r="G6" s="18" t="str">
        <x:v>L1 数据先行</x:v>
      </x:c>
      <x:c r="H6" s="18" t="str">
        <x:v>不满足只标记“待验证”，不得形成规则</x:v>
      </x:c>
      <x:c r="I6" s="18" t="str">
        <x:v>降级为待复核</x:v>
      </x:c>
      <x:c r="J6" s="18" t="str">
        <x:v>2026-08-GUIDE-V1</x:v>
      </x:c>
      <x:c r="K6" s="18" t="str">
        <x:v>店铺负责人</x:v>
      </x:c>
      <x:c r="L6" s="26" t="n">
        <x:v>46265</x:v>
      </x:c>
      <x:c r="M6" s="18" t="str"/>
    </x:row>
    <x:row r="7">
      <x:c r="A7" s="19" t="str">
        <x:v>LR-002</x:v>
      </x:c>
      <x:c r="B7" s="19" t="str">
        <x:v>1.0</x:v>
      </x:c>
      <x:c r="C7" s="19" t="str">
        <x:v>现行</x:v>
      </x:c>
      <x:c r="D7" s="27" t="n">
        <x:v>46235</x:v>
      </x:c>
      <x:c r="E7" s="19" t="str">
        <x:v>YB店月度运营</x:v>
      </x:c>
      <x:c r="F7" s="19" t="str">
        <x:v>一个Operation只改变一个关键变量</x:v>
      </x:c>
      <x:c r="G7" s="19" t="str">
        <x:v>L2 单变量</x:v>
      </x:c>
      <x:c r="H7" s="19" t="str">
        <x:v>多变量同时变化时只能记录相关性，不能归因</x:v>
      </x:c>
      <x:c r="I7" s="19" t="str">
        <x:v>降级为待复核</x:v>
      </x:c>
      <x:c r="J7" s="19" t="str">
        <x:v>2026-08-GUIDE-V1</x:v>
      </x:c>
      <x:c r="K7" s="19" t="str">
        <x:v>店铺负责人</x:v>
      </x:c>
      <x:c r="L7" s="27" t="n">
        <x:v>46265</x:v>
      </x:c>
      <x:c r="M7" s="19" t="str"/>
    </x:row>
    <x:row r="8">
      <x:c r="A8" s="19" t="str">
        <x:v>LR-003</x:v>
      </x:c>
      <x:c r="B8" s="19" t="str">
        <x:v>1.0</x:v>
      </x:c>
      <x:c r="C8" s="19" t="str">
        <x:v>现行</x:v>
      </x:c>
      <x:c r="D8" s="27" t="n">
        <x:v>46235</x:v>
      </x:c>
      <x:c r="E8" s="19" t="str">
        <x:v>YB店月度运营</x:v>
      </x:c>
      <x:c r="F8" s="19" t="str">
        <x:v>广告至少7天或20点击；Offer至少14天；活动周期采用同口径日均</x:v>
      </x:c>
      <x:c r="G8" s="19" t="str">
        <x:v>L3 观察窗</x:v>
      </x:c>
      <x:c r="H8" s="19" t="str">
        <x:v>未成熟不得提前判定输赢</x:v>
      </x:c>
      <x:c r="I8" s="19" t="str">
        <x:v>降级为待复核</x:v>
      </x:c>
      <x:c r="J8" s="19" t="str">
        <x:v>2026-08-GUIDE-V1</x:v>
      </x:c>
      <x:c r="K8" s="19" t="str">
        <x:v>店铺负责人</x:v>
      </x:c>
      <x:c r="L8" s="27" t="n">
        <x:v>46265</x:v>
      </x:c>
      <x:c r="M8" s="19" t="str"/>
    </x:row>
    <x:row r="9">
      <x:c r="A9" s="19" t="str">
        <x:v>LR-004</x:v>
      </x:c>
      <x:c r="B9" s="19" t="str">
        <x:v>1.0</x:v>
      </x:c>
      <x:c r="C9" s="19" t="str">
        <x:v>现行</x:v>
      </x:c>
      <x:c r="D9" s="27" t="n">
        <x:v>46235</x:v>
      </x:c>
      <x:c r="E9" s="19" t="str">
        <x:v>YB店月度运营</x:v>
      </x:c>
      <x:c r="F9" s="19" t="str">
        <x:v>前快照→审批→执行→后结果→验收→成熟复盘</x:v>
      </x:c>
      <x:c r="G9" s="19" t="str">
        <x:v>L4 证据链</x:v>
      </x:c>
      <x:c r="H9" s="19" t="str">
        <x:v>任一缺失则状态不得进入“已验证”</x:v>
      </x:c>
      <x:c r="I9" s="19" t="str">
        <x:v>降级为待复核</x:v>
      </x:c>
      <x:c r="J9" s="19" t="str">
        <x:v>2026-08-GUIDE-V1</x:v>
      </x:c>
      <x:c r="K9" s="19" t="str">
        <x:v>店铺负责人</x:v>
      </x:c>
      <x:c r="L9" s="27" t="n">
        <x:v>46265</x:v>
      </x:c>
      <x:c r="M9" s="19" t="str"/>
    </x:row>
    <x:row r="10">
      <x:c r="A10" s="19" t="str">
        <x:v>LR-005</x:v>
      </x:c>
      <x:c r="B10" s="19" t="str">
        <x:v>1.0</x:v>
      </x:c>
      <x:c r="C10" s="19" t="str">
        <x:v>现行</x:v>
      </x:c>
      <x:c r="D10" s="27" t="n">
        <x:v>46235</x:v>
      </x:c>
      <x:c r="E10" s="19" t="str">
        <x:v>YB店月度运营</x:v>
      </x:c>
      <x:c r="F10" s="19" t="str">
        <x:v>连续2个观察周期方向一致，或1个完整月证据充分且人工批准</x:v>
      </x:c>
      <x:c r="G10" s="19" t="str">
        <x:v>L5 升级门槛</x:v>
      </x:c>
      <x:c r="H10" s="19" t="str">
        <x:v>才可从“候选规则”升级为“SOP规则”</x:v>
      </x:c>
      <x:c r="I10" s="19" t="str">
        <x:v>降级为待复核</x:v>
      </x:c>
      <x:c r="J10" s="19" t="str">
        <x:v>2026-08-GUIDE-V1</x:v>
      </x:c>
      <x:c r="K10" s="19" t="str">
        <x:v>店铺负责人</x:v>
      </x:c>
      <x:c r="L10" s="27" t="n">
        <x:v>46265</x:v>
      </x:c>
      <x:c r="M10" s="19" t="str"/>
    </x:row>
    <x:row r="11">
      <x:c r="A11" s="19" t="str">
        <x:v>LR-006</x:v>
      </x:c>
      <x:c r="B11" s="19" t="str">
        <x:v>1.0</x:v>
      </x:c>
      <x:c r="C11" s="19" t="str">
        <x:v>现行</x:v>
      </x:c>
      <x:c r="D11" s="27" t="n">
        <x:v>46235</x:v>
      </x:c>
      <x:c r="E11" s="19" t="str">
        <x:v>YB店月度运营</x:v>
      </x:c>
      <x:c r="F11" s="19" t="str">
        <x:v>任何规则必须写触发条件、停止条件、回退动作和适用范围</x:v>
      </x:c>
      <x:c r="G11" s="19" t="str">
        <x:v>L6 回退机制</x:v>
      </x:c>
      <x:c r="H11" s="19" t="str">
        <x:v>护栏被突破时自动降级为待复核</x:v>
      </x:c>
      <x:c r="I11" s="19" t="str">
        <x:v>降级为待复核</x:v>
      </x:c>
      <x:c r="J11" s="19" t="str">
        <x:v>2026-08-GUIDE-V1</x:v>
      </x:c>
      <x:c r="K11" s="19" t="str">
        <x:v>店铺负责人</x:v>
      </x:c>
      <x:c r="L11" s="27" t="n">
        <x:v>46265</x:v>
      </x:c>
      <x:c r="M11" s="19" t="str"/>
    </x:row>
    <x:row r="12">
      <x:c r="A12" s="19" t="str">
        <x:v>LR-007</x:v>
      </x:c>
      <x:c r="B12" s="19" t="str">
        <x:v>1.0</x:v>
      </x:c>
      <x:c r="C12" s="19" t="str">
        <x:v>现行</x:v>
      </x:c>
      <x:c r="D12" s="27" t="n">
        <x:v>46235</x:v>
      </x:c>
      <x:c r="E12" s="19" t="str">
        <x:v>YB店月度运营</x:v>
      </x:c>
      <x:c r="F12" s="19" t="str">
        <x:v>规则ID + 版本 + 生效日 + 证据Operation ID + 批准人</x:v>
      </x:c>
      <x:c r="G12" s="19" t="str">
        <x:v>L7 版本管理</x:v>
      </x:c>
      <x:c r="H12" s="19" t="str">
        <x:v>旧版本保留，不覆盖历史</x:v>
      </x:c>
      <x:c r="I12" s="19" t="str">
        <x:v>降级为待复核</x:v>
      </x:c>
      <x:c r="J12" s="19" t="str">
        <x:v>2026-08-GUIDE-V1</x:v>
      </x:c>
      <x:c r="K12" s="19" t="str">
        <x:v>店铺负责人</x:v>
      </x:c>
      <x:c r="L12" s="27" t="n">
        <x:v>46265</x:v>
      </x:c>
      <x:c r="M12" s="19" t="str"/>
    </x:row>
    <x:row r="13">
      <x:c r="A13" s="21" t="str"/>
      <x:c r="B13" s="21" t="str"/>
      <x:c r="C13" s="21" t="str"/>
      <x:c r="D13" s="40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40" t="str"/>
      <x:c r="M13" s="21" t="str"/>
    </x:row>
    <x:row r="14">
      <x:c r="A14" s="21" t="str"/>
      <x:c r="B14" s="21" t="str"/>
      <x:c r="C14" s="21" t="str"/>
      <x:c r="D14" s="40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40" t="str"/>
      <x:c r="M14" s="21" t="str"/>
    </x:row>
    <x:row r="15">
      <x:c r="A15" s="21" t="str"/>
      <x:c r="B15" s="21" t="str"/>
      <x:c r="C15" s="21" t="str"/>
      <x:c r="D15" s="40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40" t="str"/>
      <x:c r="M15" s="21" t="str"/>
    </x:row>
    <x:row r="16">
      <x:c r="A16" s="21" t="str"/>
      <x:c r="B16" s="21" t="str"/>
      <x:c r="C16" s="21" t="str"/>
      <x:c r="D16" s="40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40" t="str"/>
      <x:c r="M16" s="21" t="str"/>
    </x:row>
    <x:row r="17">
      <x:c r="A17" s="21" t="str"/>
      <x:c r="B17" s="21" t="str"/>
      <x:c r="C17" s="21" t="str"/>
      <x:c r="D17" s="40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40" t="str"/>
      <x:c r="M17" s="21" t="str"/>
    </x:row>
    <x:row r="18">
      <x:c r="A18" s="21" t="str"/>
      <x:c r="B18" s="21" t="str"/>
      <x:c r="C18" s="21" t="str"/>
      <x:c r="D18" s="40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40" t="str"/>
      <x:c r="M18" s="21" t="str"/>
    </x:row>
    <x:row r="19">
      <x:c r="A19" s="21" t="str"/>
      <x:c r="B19" s="21" t="str"/>
      <x:c r="C19" s="21" t="str"/>
      <x:c r="D19" s="40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40" t="str"/>
      <x:c r="M19" s="21" t="str"/>
    </x:row>
    <x:row r="20">
      <x:c r="A20" s="21" t="str"/>
      <x:c r="B20" s="21" t="str"/>
      <x:c r="C20" s="21" t="str"/>
      <x:c r="D20" s="40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40" t="str"/>
      <x:c r="M20" s="21" t="str"/>
    </x:row>
    <x:row r="21">
      <x:c r="A21" s="21" t="str"/>
      <x:c r="B21" s="21" t="str"/>
      <x:c r="C21" s="21" t="str"/>
      <x:c r="D21" s="40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40" t="str"/>
      <x:c r="M21" s="21" t="str"/>
    </x:row>
    <x:row r="22">
      <x:c r="A22" s="21" t="str"/>
      <x:c r="B22" s="21" t="str"/>
      <x:c r="C22" s="21" t="str"/>
      <x:c r="D22" s="40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40" t="str"/>
      <x:c r="M22" s="21" t="str"/>
    </x:row>
    <x:row r="23">
      <x:c r="A23" s="21" t="str"/>
      <x:c r="B23" s="21" t="str"/>
      <x:c r="C23" s="21" t="str"/>
      <x:c r="D23" s="40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40" t="str"/>
      <x:c r="M23" s="21" t="str"/>
    </x:row>
    <x:row r="24">
      <x:c r="A24" s="21" t="str"/>
      <x:c r="B24" s="21" t="str"/>
      <x:c r="C24" s="21" t="str"/>
      <x:c r="D24" s="40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40" t="str"/>
      <x:c r="M24" s="21" t="str"/>
    </x:row>
    <x:row r="25">
      <x:c r="A25" s="21" t="str"/>
      <x:c r="B25" s="21" t="str"/>
      <x:c r="C25" s="21" t="str"/>
      <x:c r="D25" s="40" t="str"/>
      <x:c r="E25" s="21" t="str"/>
      <x:c r="F25" s="21" t="str"/>
      <x:c r="G25" s="21" t="str"/>
      <x:c r="H25" s="21" t="str"/>
      <x:c r="I25" s="21" t="str"/>
      <x:c r="J25" s="21" t="str"/>
      <x:c r="K25" s="21" t="str"/>
      <x:c r="L25" s="40" t="str"/>
      <x:c r="M25" s="21" t="str"/>
    </x:row>
    <x:row r="26">
      <x:c r="A26" s="21" t="str"/>
      <x:c r="B26" s="21" t="str"/>
      <x:c r="C26" s="21" t="str"/>
      <x:c r="D26" s="40" t="str"/>
      <x:c r="E26" s="21" t="str"/>
      <x:c r="F26" s="21" t="str"/>
      <x:c r="G26" s="21" t="str"/>
      <x:c r="H26" s="21" t="str"/>
      <x:c r="I26" s="21" t="str"/>
      <x:c r="J26" s="21" t="str"/>
      <x:c r="K26" s="21" t="str"/>
      <x:c r="L26" s="40" t="str"/>
      <x:c r="M26" s="21" t="str"/>
    </x:row>
    <x:row r="27">
      <x:c r="A27" s="21" t="str"/>
      <x:c r="B27" s="21" t="str"/>
      <x:c r="C27" s="21" t="str"/>
      <x:c r="D27" s="40" t="str"/>
      <x:c r="E27" s="21" t="str"/>
      <x:c r="F27" s="21" t="str"/>
      <x:c r="G27" s="21" t="str"/>
      <x:c r="H27" s="21" t="str"/>
      <x:c r="I27" s="21" t="str"/>
      <x:c r="J27" s="21" t="str"/>
      <x:c r="K27" s="21" t="str"/>
      <x:c r="L27" s="40" t="str"/>
      <x:c r="M27" s="21" t="str"/>
    </x:row>
    <x:row r="28">
      <x:c r="A28" s="21" t="str"/>
      <x:c r="B28" s="21" t="str"/>
      <x:c r="C28" s="21" t="str"/>
      <x:c r="D28" s="40" t="str"/>
      <x:c r="E28" s="21" t="str"/>
      <x:c r="F28" s="21" t="str"/>
      <x:c r="G28" s="21" t="str"/>
      <x:c r="H28" s="21" t="str"/>
      <x:c r="I28" s="21" t="str"/>
      <x:c r="J28" s="21" t="str"/>
      <x:c r="K28" s="21" t="str"/>
      <x:c r="L28" s="40" t="str"/>
      <x:c r="M28" s="21" t="str"/>
    </x:row>
    <x:row r="29">
      <x:c r="A29" s="21" t="str"/>
      <x:c r="B29" s="21" t="str"/>
      <x:c r="C29" s="21" t="str"/>
      <x:c r="D29" s="40" t="str"/>
      <x:c r="E29" s="21" t="str"/>
      <x:c r="F29" s="21" t="str"/>
      <x:c r="G29" s="21" t="str"/>
      <x:c r="H29" s="21" t="str"/>
      <x:c r="I29" s="21" t="str"/>
      <x:c r="J29" s="21" t="str"/>
      <x:c r="K29" s="21" t="str"/>
      <x:c r="L29" s="40" t="str"/>
      <x:c r="M29" s="21" t="str"/>
    </x:row>
    <x:row r="30">
      <x:c r="A30" s="21" t="str"/>
      <x:c r="B30" s="21" t="str"/>
      <x:c r="C30" s="21" t="str"/>
      <x:c r="D30" s="40" t="str"/>
      <x:c r="E30" s="21" t="str"/>
      <x:c r="F30" s="21" t="str"/>
      <x:c r="G30" s="21" t="str"/>
      <x:c r="H30" s="21" t="str"/>
      <x:c r="I30" s="21" t="str"/>
      <x:c r="J30" s="21" t="str"/>
      <x:c r="K30" s="21" t="str"/>
      <x:c r="L30" s="40" t="str"/>
      <x:c r="M30" s="21" t="str"/>
    </x:row>
    <x:row r="31">
      <x:c r="A31" s="21" t="str"/>
      <x:c r="B31" s="21" t="str"/>
      <x:c r="C31" s="21" t="str"/>
      <x:c r="D31" s="40" t="str"/>
      <x:c r="E31" s="21" t="str"/>
      <x:c r="F31" s="21" t="str"/>
      <x:c r="G31" s="21" t="str"/>
      <x:c r="H31" s="21" t="str"/>
      <x:c r="I31" s="21" t="str"/>
      <x:c r="J31" s="21" t="str"/>
      <x:c r="K31" s="21" t="str"/>
      <x:c r="L31" s="40" t="str"/>
      <x:c r="M31" s="21" t="str"/>
    </x:row>
    <x:row r="32">
      <x:c r="A32" s="21" t="str"/>
      <x:c r="B32" s="21" t="str"/>
      <x:c r="C32" s="21" t="str"/>
      <x:c r="D32" s="40" t="str"/>
      <x:c r="E32" s="21" t="str"/>
      <x:c r="F32" s="21" t="str"/>
      <x:c r="G32" s="21" t="str"/>
      <x:c r="H32" s="21" t="str"/>
      <x:c r="I32" s="21" t="str"/>
      <x:c r="J32" s="21" t="str"/>
      <x:c r="K32" s="21" t="str"/>
      <x:c r="L32" s="40" t="str"/>
      <x:c r="M32" s="21" t="str"/>
    </x:row>
    <x:row r="33">
      <x:c r="A33" s="21" t="str"/>
      <x:c r="B33" s="21" t="str"/>
      <x:c r="C33" s="21" t="str"/>
      <x:c r="D33" s="40" t="str"/>
      <x:c r="E33" s="21" t="str"/>
      <x:c r="F33" s="21" t="str"/>
      <x:c r="G33" s="21" t="str"/>
      <x:c r="H33" s="21" t="str"/>
      <x:c r="I33" s="21" t="str"/>
      <x:c r="J33" s="21" t="str"/>
      <x:c r="K33" s="21" t="str"/>
      <x:c r="L33" s="40" t="str"/>
      <x:c r="M33" s="21" t="str"/>
    </x:row>
    <x:row r="34">
      <x:c r="A34" s="21" t="str"/>
      <x:c r="B34" s="21" t="str"/>
      <x:c r="C34" s="21" t="str"/>
      <x:c r="D34" s="40" t="str"/>
      <x:c r="E34" s="21" t="str"/>
      <x:c r="F34" s="21" t="str"/>
      <x:c r="G34" s="21" t="str"/>
      <x:c r="H34" s="21" t="str"/>
      <x:c r="I34" s="21" t="str"/>
      <x:c r="J34" s="21" t="str"/>
      <x:c r="K34" s="21" t="str"/>
      <x:c r="L34" s="40" t="str"/>
      <x:c r="M34" s="21" t="str"/>
    </x:row>
    <x:row r="35">
      <x:c r="A35" s="21" t="str"/>
      <x:c r="B35" s="21" t="str"/>
      <x:c r="C35" s="21" t="str"/>
      <x:c r="D35" s="40" t="str"/>
      <x:c r="E35" s="21" t="str"/>
      <x:c r="F35" s="21" t="str"/>
      <x:c r="G35" s="21" t="str"/>
      <x:c r="H35" s="21" t="str"/>
      <x:c r="I35" s="21" t="str"/>
      <x:c r="J35" s="21" t="str"/>
      <x:c r="K35" s="21" t="str"/>
      <x:c r="L35" s="40" t="str"/>
      <x:c r="M35" s="21" t="str"/>
    </x:row>
    <x:row r="36">
      <x:c r="A36" s="21" t="str"/>
      <x:c r="B36" s="21" t="str"/>
      <x:c r="C36" s="21" t="str"/>
      <x:c r="D36" s="40" t="str"/>
      <x:c r="E36" s="21" t="str"/>
      <x:c r="F36" s="21" t="str"/>
      <x:c r="G36" s="21" t="str"/>
      <x:c r="H36" s="21" t="str"/>
      <x:c r="I36" s="21" t="str"/>
      <x:c r="J36" s="21" t="str"/>
      <x:c r="K36" s="21" t="str"/>
      <x:c r="L36" s="40" t="str"/>
      <x:c r="M36" s="21" t="str"/>
    </x:row>
    <x:row r="37">
      <x:c r="A37" s="21" t="str"/>
      <x:c r="B37" s="21" t="str"/>
      <x:c r="C37" s="21" t="str"/>
      <x:c r="D37" s="40" t="str"/>
      <x:c r="E37" s="21" t="str"/>
      <x:c r="F37" s="21" t="str"/>
      <x:c r="G37" s="21" t="str"/>
      <x:c r="H37" s="21" t="str"/>
      <x:c r="I37" s="21" t="str"/>
      <x:c r="J37" s="21" t="str"/>
      <x:c r="K37" s="21" t="str"/>
      <x:c r="L37" s="40" t="str"/>
      <x:c r="M37" s="21" t="str"/>
    </x:row>
    <x:row r="38">
      <x:c r="A38" s="21" t="str"/>
      <x:c r="B38" s="21" t="str"/>
      <x:c r="C38" s="21" t="str"/>
      <x:c r="D38" s="40" t="str"/>
      <x:c r="E38" s="21" t="str"/>
      <x:c r="F38" s="21" t="str"/>
      <x:c r="G38" s="21" t="str"/>
      <x:c r="H38" s="21" t="str"/>
      <x:c r="I38" s="21" t="str"/>
      <x:c r="J38" s="21" t="str"/>
      <x:c r="K38" s="21" t="str"/>
      <x:c r="L38" s="40" t="str"/>
      <x:c r="M38" s="21" t="str"/>
    </x:row>
    <x:row r="39">
      <x:c r="A39" s="21" t="str"/>
      <x:c r="B39" s="21" t="str"/>
      <x:c r="C39" s="21" t="str"/>
      <x:c r="D39" s="40" t="str"/>
      <x:c r="E39" s="21" t="str"/>
      <x:c r="F39" s="21" t="str"/>
      <x:c r="G39" s="21" t="str"/>
      <x:c r="H39" s="21" t="str"/>
      <x:c r="I39" s="21" t="str"/>
      <x:c r="J39" s="21" t="str"/>
      <x:c r="K39" s="21" t="str"/>
      <x:c r="L39" s="40" t="str"/>
      <x:c r="M39" s="21" t="str"/>
    </x:row>
    <x:row r="40">
      <x:c r="A40" s="21" t="str"/>
      <x:c r="B40" s="21" t="str"/>
      <x:c r="C40" s="21" t="str"/>
      <x:c r="D40" s="40" t="str"/>
      <x:c r="E40" s="21" t="str"/>
      <x:c r="F40" s="21" t="str"/>
      <x:c r="G40" s="21" t="str"/>
      <x:c r="H40" s="21" t="str"/>
      <x:c r="I40" s="21" t="str"/>
      <x:c r="J40" s="21" t="str"/>
      <x:c r="K40" s="21" t="str"/>
      <x:c r="L40" s="40" t="str"/>
      <x:c r="M40" s="21" t="str"/>
    </x:row>
  </x:sheetData>
  <x:mergeCells>
    <x:mergeCell ref="A1:M1"/>
    <x:mergeCell ref="A2:M2"/>
  </x:mergeCells>
  <x:dataValidations count="1">
    <x:dataValidation type="list" sqref="C6:C40">
      <x:formula1>"候选,试行,现行,待复核,已回退,已退休"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7ba3cf6e384528"/>
  </x:tableParts>
</x:worksheet>
</file>