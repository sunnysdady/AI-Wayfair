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ac54985fa148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执行总览" sheetId="1" r:id="R0468c49e9b12450b"/>
    <x:sheet xmlns:r="http://schemas.openxmlformats.org/officeDocument/2006/relationships" name="Campaign执行表" sheetId="2" r:id="R9fd1e5eb13394218"/>
    <x:sheet xmlns:r="http://schemas.openxmlformats.org/officeDocument/2006/relationships" name="关键词新建清单" sheetId="3" r:id="R624267fe3e19455b"/>
    <x:sheet xmlns:r="http://schemas.openxmlformats.org/officeDocument/2006/relationships" name="暂停剔除清单" sheetId="4" r:id="R86b8a70349134134"/>
    <x:sheet xmlns:r="http://schemas.openxmlformats.org/officeDocument/2006/relationships" name="预算台账" sheetId="5" r:id="R5d747f01e2b043ed"/>
    <x:sheet xmlns:r="http://schemas.openxmlformats.org/officeDocument/2006/relationships" name="BM与Bid审计" sheetId="6" r:id="Rf486f4c9e21547c6"/>
    <x:sheet xmlns:r="http://schemas.openxmlformats.org/officeDocument/2006/relationships" name="机动预算释放" sheetId="7" r:id="R12d0fb164fcd4f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$#,##0"/>
    <x:numFmt numFmtId="201" formatCode="$0.00"/>
    <x:numFmt numFmtId="202" formatCode="0.0%"/>
    <x:numFmt numFmtId="203" formatCode="$0"/>
  </x:numFmts>
  <x:fonts count="11">
    <x:font>
      <x:sz val="11"/>
      <x:name val="Carlito"/>
    </x:font>
    <x:font>
      <x:b/>
      <x:sz val="20"/>
      <x:color rgb="FFFFFFFF"/>
      <x:name val="Carlito"/>
    </x:font>
    <x:font>
      <x:sz val="10"/>
      <x:color rgb="FF66758A"/>
      <x:name val="Carlito"/>
    </x:font>
    <x:font>
      <x:b/>
      <x:sz val="11"/>
      <x:color rgb="FFC64E4E"/>
      <x:name val="Carlito"/>
    </x:font>
    <x:font>
      <x:b/>
      <x:sz val="11"/>
      <x:color rgb="FFFFFFFF"/>
      <x:name val="Carlito"/>
    </x:font>
    <x:font>
      <x:b/>
      <x:sz val="11"/>
      <x:color rgb="FF13866F"/>
      <x:name val="Carlito"/>
    </x:font>
    <x:font>
      <x:b/>
      <x:sz val="10"/>
      <x:color rgb="FFFFFFFF"/>
      <x:name val="Carlito"/>
    </x:font>
    <x:font>
      <x:sz val="9"/>
      <x:color rgb="FF17243B"/>
      <x:name val="Carlito"/>
    </x:font>
    <x:font>
      <x:b/>
      <x:sz val="10"/>
      <x:color rgb="FF17243B"/>
      <x:name val="Aptos"/>
    </x:font>
    <x:font>
      <x:sz val="10"/>
      <x:color rgb="FF17243B"/>
      <x:name val="Aptos"/>
    </x:font>
    <x:font>
      <x:b/>
      <x:sz val="20"/>
      <x:color rgb="FFFFFFFF"/>
      <x:name val="Aptos Display"/>
    </x:font>
  </x:fonts>
  <x:fills count="8">
    <x:fill>
      <x:patternFill patternType="none"/>
    </x:fill>
    <x:fill>
      <x:patternFill patternType="gray125"/>
    </x:fill>
    <x:fill>
      <x:patternFill patternType="solid">
        <x:fgColor rgb="FF174F82"/>
      </x:patternFill>
    </x:fill>
    <x:fill>
      <x:patternFill patternType="solid">
        <x:fgColor rgb="FFEAF3FA"/>
      </x:patternFill>
    </x:fill>
    <x:fill>
      <x:patternFill patternType="solid">
        <x:fgColor rgb="FFFFF0EF"/>
      </x:patternFill>
    </x:fill>
    <x:fill>
      <x:patternFill patternType="solid">
        <x:fgColor rgb="FFEAF7F3"/>
      </x:patternFill>
    </x:fill>
    <x:fill>
      <x:patternFill patternType="solid">
        <x:fgColor rgb="FF246AA8"/>
      </x:patternFill>
    </x:fill>
    <x:fill>
      <x:patternFill patternType="solid">
        <x:fgColor rgb="FFFFF7D6"/>
      </x:patternFill>
    </x:fill>
  </x:fills>
  <x:borders count="10">
    <x:border/>
    <x:border>
      <x:left style="thin">
        <x:color rgb="FFD9E5EF"/>
      </x:left>
      <x:right style="thin">
        <x:color rgb="FFD9E5EF"/>
      </x:right>
      <x:top style="thin">
        <x:color rgb="FFD9E5EF"/>
      </x:top>
      <x:bottom style="thin">
        <x:color rgb="FFD9E5EF"/>
      </x:bottom>
    </x:border>
    <x:border>
      <x:right style="thin">
        <x:color rgb="FFD9E5EF"/>
      </x:right>
      <x:bottom style="thin">
        <x:color rgb="FFD9E5EF"/>
      </x:bottom>
    </x:border>
    <x:border>
      <x:left style="thin">
        <x:color rgb="FFD9E5EF"/>
      </x:left>
      <x:right style="thin">
        <x:color rgb="FFD9E5EF"/>
      </x:right>
      <x:bottom style="thin">
        <x:color rgb="FFD9E5EF"/>
      </x:bottom>
    </x:border>
    <x:border>
      <x:left style="thin">
        <x:color rgb="FFD9E5EF"/>
      </x:left>
      <x:bottom style="thin">
        <x:color rgb="FFD9E5EF"/>
      </x:bottom>
    </x:border>
    <x:border>
      <x:right style="thin">
        <x:color rgb="FFD9E5EF"/>
      </x:right>
      <x:top style="thin">
        <x:color rgb="FFD9E5EF"/>
      </x:top>
      <x:bottom style="thin">
        <x:color rgb="FFD9E5EF"/>
      </x:bottom>
    </x:border>
    <x:border>
      <x:left style="thin">
        <x:color rgb="FFD9E5EF"/>
      </x:left>
      <x:top style="thin">
        <x:color rgb="FFD9E5EF"/>
      </x:top>
      <x:bottom style="thin">
        <x:color rgb="FFD9E5EF"/>
      </x:bottom>
    </x:border>
    <x:border>
      <x:right style="thin">
        <x:color rgb="FFD9E5EF"/>
      </x:right>
      <x:top style="thin">
        <x:color rgb="FFD9E5EF"/>
      </x:top>
    </x:border>
    <x:border>
      <x:left style="thin">
        <x:color rgb="FFD9E5EF"/>
      </x:left>
      <x:right style="thin">
        <x:color rgb="FFD9E5EF"/>
      </x:right>
      <x:top style="thin">
        <x:color rgb="FFD9E5EF"/>
      </x:top>
    </x:border>
    <x:border>
      <x:left style="thin">
        <x:color rgb="FFD9E5EF"/>
      </x:left>
      <x:top style="thin">
        <x:color rgb="FFD9E5EF"/>
      </x:top>
    </x:border>
  </x:borders>
  <x:cellStyleXfs count="1">
    <x:xf numFmtId="0" fontId="0" fillId="0" borderId="0"/>
  </x:cellStyleXfs>
  <x:cellXfs count="10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200" fontId="0" fillId="0" borderId="0" xfId="0" applyNumberFormat="1" applyFont="1" applyFill="1" applyBorder="1"/>
    <x:xf numFmtId="0" fontId="4" fillId="2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6" fillId="6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7" fillId="0" borderId="5" xfId="0" applyNumberFormat="1" applyFont="1" applyFill="1" applyBorder="1"/>
    <x:xf numFmtId="0" fontId="7" fillId="0" borderId="1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8" xfId="0" applyNumberFormat="1" applyFont="1" applyFill="1" applyBorder="1" applyAlignment="1">
      <x:alignment wrapText="1"/>
    </x:xf>
    <x:xf numFmtId="0" fontId="7" fillId="0" borderId="9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7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201" fontId="7" fillId="0" borderId="8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2" fontId="7" fillId="0" borderId="8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201" fontId="7" fillId="7" borderId="8" xfId="0" applyNumberFormat="1" applyFont="1" applyFill="1" applyBorder="1" applyAlignment="1">
      <x:alignment vertical="top" wrapText="1"/>
    </x:xf>
    <x:xf numFmtId="200" fontId="0" fillId="2" borderId="0" xfId="0" applyNumberFormat="1" applyFont="1" applyFill="1" applyBorder="1"/>
    <x:xf numFmtId="200" fontId="4" fillId="2" borderId="0" xfId="0" applyNumberFormat="1" applyFont="1" applyFill="1" applyBorder="1"/>
    <x:xf numFmtId="201" fontId="0" fillId="0" borderId="0" xfId="0" applyNumberFormat="1" applyFont="1" applyFill="1" applyBorder="1"/>
    <x:xf numFmtId="201" fontId="0" fillId="6" borderId="0" xfId="0" applyNumberFormat="1" applyFont="1" applyFill="1" applyBorder="1"/>
    <x:xf numFmtId="201" fontId="6" fillId="6" borderId="0" xfId="0" applyNumberFormat="1" applyFont="1" applyFill="1" applyBorder="1"/>
    <x:xf numFmtId="201" fontId="6" fillId="6" borderId="0" xfId="0" applyNumberFormat="1" applyFont="1" applyFill="1" applyBorder="1" applyAlignment="1">
      <x:alignment wrapText="1"/>
    </x:xf>
    <x:xf numFmtId="201" fontId="6" fillId="6" borderId="0" xfId="0" applyNumberFormat="1" applyFont="1" applyFill="1" applyBorder="1" applyAlignment="1">
      <x:alignment vertical="center" wrapText="1"/>
    </x:xf>
    <x:xf numFmtId="201" fontId="6" fillId="6" borderId="3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1" fontId="7" fillId="0" borderId="1" xfId="0" applyNumberFormat="1" applyFont="1" applyFill="1" applyBorder="1"/>
    <x:xf numFmtId="201" fontId="7" fillId="0" borderId="1" xfId="0" applyNumberFormat="1" applyFont="1" applyFill="1" applyBorder="1" applyAlignment="1">
      <x:alignment wrapText="1"/>
    </x:xf>
    <x:xf numFmtId="203" fontId="7" fillId="0" borderId="1" xfId="0" applyNumberFormat="1" applyFont="1" applyFill="1" applyBorder="1" applyAlignment="1">
      <x:alignment vertical="top" wrapText="1"/>
    </x:xf>
    <x:xf numFmtId="203" fontId="7" fillId="0" borderId="8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 wrapText="1"/>
    </x:xf>
    <x:xf numFmtId="0" fontId="8" fillId="4" borderId="0" xfId="0" applyNumberFormat="1" applyFont="1" applyFill="1" applyBorder="1" applyAlignment="1">
      <x:alignment wrapText="1"/>
    </x:xf>
    <x:xf numFmtId="0" fontId="8" fillId="2" borderId="1" xfId="0" applyNumberFormat="1" applyFont="1" applyFill="1" applyBorder="1"/>
    <x:xf numFmtId="0" fontId="8" fillId="2" borderId="0" xfId="0" applyNumberFormat="1" applyFont="1" applyFill="1" applyBorder="1"/>
    <x:xf numFmtId="0" fontId="9" fillId="0" borderId="1" xfId="0" applyNumberFormat="1" applyFont="1" applyFill="1" applyBorder="1"/>
    <x:xf numFmtId="200" fontId="9" fillId="0" borderId="1" xfId="0" applyNumberFormat="1" applyFont="1" applyFill="1" applyBorder="1"/>
    <x:xf numFmtId="200" fontId="9" fillId="0" borderId="0" xfId="0" applyNumberFormat="1" applyFont="1" applyFill="1" applyBorder="1"/>
    <x:xf numFmtId="0" fontId="8" fillId="5" borderId="0" xfId="0" applyNumberFormat="1" applyFont="1" applyFill="1" applyBorder="1"/>
    <x:xf numFmtId="0" fontId="8" fillId="6" borderId="2" xfId="0" applyNumberFormat="1" applyFont="1" applyFill="1" applyBorder="1" applyAlignment="1">
      <x:alignment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0" fontId="8" fillId="6" borderId="4" xfId="0" applyNumberFormat="1" applyFont="1" applyFill="1" applyBorder="1" applyAlignment="1">
      <x:alignment vertical="center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0" borderId="8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10" fillId="2" borderId="0" xfId="0" applyNumberFormat="1" applyFont="1" applyFill="1" applyBorder="1" applyAlignment="1">
      <x:alignment vertical="center"/>
    </x:xf>
    <x:xf numFmtId="201" fontId="9" fillId="0" borderId="1" xfId="0" applyNumberFormat="1" applyFont="1" applyFill="1" applyBorder="1" applyAlignment="1">
      <x:alignment vertical="top" wrapText="1"/>
    </x:xf>
    <x:xf numFmtId="201" fontId="9" fillId="0" borderId="8" xfId="0" applyNumberFormat="1" applyFont="1" applyFill="1" applyBorder="1" applyAlignment="1">
      <x:alignment vertical="top" wrapText="1"/>
    </x:xf>
    <x:xf numFmtId="201" fontId="9" fillId="7" borderId="1" xfId="0" applyNumberFormat="1" applyFont="1" applyFill="1" applyBorder="1" applyAlignment="1">
      <x:alignment vertical="top" wrapText="1"/>
    </x:xf>
    <x:xf numFmtId="202" fontId="9" fillId="0" borderId="1" xfId="0" applyNumberFormat="1" applyFont="1" applyFill="1" applyBorder="1" applyAlignment="1">
      <x:alignment vertical="top" wrapText="1"/>
    </x:xf>
    <x:xf numFmtId="201" fontId="9" fillId="7" borderId="8" xfId="0" applyNumberFormat="1" applyFont="1" applyFill="1" applyBorder="1" applyAlignment="1">
      <x:alignment vertical="top" wrapText="1"/>
    </x:xf>
    <x:xf numFmtId="202" fontId="9" fillId="0" borderId="8" xfId="0" applyNumberFormat="1" applyFont="1" applyFill="1" applyBorder="1" applyAlignment="1">
      <x:alignment vertical="top" wrapText="1"/>
    </x:xf>
    <x:xf numFmtId="200" fontId="8" fillId="2" borderId="0" xfId="0" applyNumberFormat="1" applyFont="1" applyFill="1" applyBorder="1"/>
    <x:xf numFmtId="201" fontId="9" fillId="0" borderId="0" xfId="0" applyNumberFormat="1" applyFont="1" applyFill="1" applyBorder="1"/>
    <x:xf numFmtId="201" fontId="8" fillId="6" borderId="3" xfId="0" applyNumberFormat="1" applyFont="1" applyFill="1" applyBorder="1" applyAlignment="1">
      <x:alignment vertical="center" wrapText="1"/>
    </x:xf>
    <x:xf numFmtId="203" fontId="9" fillId="0" borderId="1" xfId="0" applyNumberFormat="1" applyFont="1" applyFill="1" applyBorder="1" applyAlignment="1">
      <x:alignment vertical="top" wrapText="1"/>
    </x:xf>
    <x:xf numFmtId="203" fontId="9" fillId="0" borderId="8" xfId="0" applyNumberFormat="1" applyFont="1" applyFill="1" applyBorder="1" applyAlignment="1">
      <x:alignment vertical="top" wrapText="1"/>
    </x:xf>
    <x:xf numFmtId="203" fontId="9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C64E4E"/>
      </x:font>
      <x:fill>
        <x:patternFill patternType="solid">
          <x:bgColor rgb="FFFFF0EF"/>
        </x:patternFill>
      </x:fill>
    </x:dxf>
    <x:dxf>
      <x:font>
        <x:b/>
        <x:color rgb="FFC64E4E"/>
      </x:font>
      <x:fill>
        <x:patternFill patternType="solid">
          <x:bgColor rgb="FFFFF0EF"/>
        </x:patternFill>
      </x:fill>
    </x:dxf>
    <x:dxf>
      <x:font>
        <x:b/>
        <x:color rgb="FFB86B12"/>
      </x:font>
      <x:fill>
        <x:patternFill patternType="solid">
          <x:bgColor rgb="FFFFF5E5"/>
        </x:patternFill>
      </x:fill>
    </x:dxf>
    <x:dxf>
      <x:font>
        <x:b/>
        <x:color rgb="FF174F82"/>
      </x:font>
      <x:fill>
        <x:patternFill patternType="solid">
          <x:bgColor rgb="FFEAF3FA"/>
        </x:patternFill>
      </x:fill>
    </x:dxf>
    <x:dxf>
      <x:font>
        <x:color rgb="FFB86B12"/>
      </x:font>
      <x:fill>
        <x:patternFill patternType="solid">
          <x:bgColor rgb="FFFFF5E5"/>
        </x:patternFill>
      </x:fill>
    </x:dxf>
    <x:dxf>
      <x:font>
        <x:b/>
        <x:color rgb="FFC64E4E"/>
      </x:font>
      <x:fill>
        <x:patternFill patternType="solid">
          <x:bgColor rgb="FFFFF0EF"/>
        </x:patternFill>
      </x:fill>
    </x:dxf>
    <x:dxf>
      <x:font>
        <x:b/>
        <x:color rgb="FFC64E4E"/>
      </x:font>
      <x:fill>
        <x:patternFill patternType="solid">
          <x:bgColor rgb="FFFFF0E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b7fdaea5648a7" /><Relationship Type="http://schemas.openxmlformats.org/officeDocument/2006/relationships/theme" Target="/xl/theme/theme1.xml" Id="Rd64dc29bec0e462b" /><Relationship Type="http://schemas.openxmlformats.org/officeDocument/2006/relationships/sharedStrings" Target="/xl/sharedStrings.xml" Id="Rd0123c24e5274937" /><Relationship Type="http://schemas.openxmlformats.org/officeDocument/2006/relationships/worksheet" Target="/xl/worksheets/sheet1.xml" Id="R0468c49e9b12450b" /><Relationship Type="http://schemas.openxmlformats.org/officeDocument/2006/relationships/worksheet" Target="/xl/worksheets/sheet2.xml" Id="R9fd1e5eb13394218" /><Relationship Type="http://schemas.openxmlformats.org/officeDocument/2006/relationships/worksheet" Target="/xl/worksheets/sheet3.xml" Id="R624267fe3e19455b" /><Relationship Type="http://schemas.openxmlformats.org/officeDocument/2006/relationships/worksheet" Target="/xl/worksheets/sheet4.xml" Id="R86b8a70349134134" /><Relationship Type="http://schemas.openxmlformats.org/officeDocument/2006/relationships/worksheet" Target="/xl/worksheets/sheet5.xml" Id="R5d747f01e2b043ed" /><Relationship Type="http://schemas.openxmlformats.org/officeDocument/2006/relationships/worksheet" Target="/xl/worksheets/sheet6.xml" Id="Rf486f4c9e21547c6" /><Relationship Type="http://schemas.openxmlformats.org/officeDocument/2006/relationships/worksheet" Target="/xl/worksheets/sheet7.xml" Id="R12d0fb164fcd4f5d" /></Relationships>
</file>

<file path=xl/tables/table1.xml><?xml version="1.0" encoding="utf-8"?>
<x:table xmlns:x="http://schemas.openxmlformats.org/spreadsheetml/2006/main" id="1" name="Day0Checklist" displayName="Day0Checklist" ref="A13:E22" headerRowCount="1" totalsRowCount="0" totalsRowShown="0">
  <x:tableColumns count="5">
    <x:tableColumn id="1" name="序号"/>
    <x:tableColumn id="2" name="Day0动作"/>
    <x:tableColumn id="3" name="验收标准"/>
    <x:tableColumn id="4" name="负责人"/>
    <x:tableColumn id="5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mpaignExecution" displayName="CampaignExecution" ref="A4:U17" headerRowCount="1" totalsRowCount="0" totalsRowShown="0">
  <x:tableColumns count="21">
    <x:tableColumn id="1" name="优先级"/>
    <x:tableColumn id="2" name="SKU/Listing"/>
    <x:tableColumn id="3" name="Supplier Parts"/>
    <x:tableColumn id="4" name="投放层"/>
    <x:tableColumn id="5" name="动作"/>
    <x:tableColumn id="6" name="现Campaign ID"/>
    <x:tableColumn id="7" name="Campaign名称"/>
    <x:tableColumn id="8" name="当前状态"/>
    <x:tableColumn id="9" name="策略"/>
    <x:tableColumn id="10" name="当前Bid"/>
    <x:tableColumn id="11" name="实际CPC"/>
    <x:tableColumn id="12" name="BM CPC锚"/>
    <x:tableColumn id="13" name="建议Bid"/>
    <x:tableColumn id="14" name="Bid硬上限"/>
    <x:tableColumn id="15" name="月预算"/>
    <x:tableColumn id="16" name="Daily Cap"/>
    <x:tableColumn id="17" name="B2B调整"/>
    <x:tableColumn id="18" name="上线Gate"/>
    <x:tableColumn id="19" name="Day7动作"/>
    <x:tableColumn id="20" name="Day14动作"/>
    <x:tableColumn id="21" name="负责人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eywordBuildList" displayName="KeywordBuildList" ref="A4:G38" headerRowCount="1" totalsRowCount="0" totalsRowShown="0">
  <x:tableColumns count="7">
    <x:tableColumn id="1" name="SKU/Listing"/>
    <x:tableColumn id="2" name="Match Type"/>
    <x:tableColumn id="3" name="Keyword"/>
    <x:tableColumn id="4" name="起始Bid"/>
    <x:tableColumn id="5" name="Bid硬上限"/>
    <x:tableColumn id="6" name="证据/相关性"/>
    <x:tableColumn id="7" name="迁移类型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useList" displayName="PauseList" ref="A4:E13" headerRowCount="1" totalsRowCount="0" totalsRowShown="0">
  <x:tableColumns count="5">
    <x:tableColumn id="1" name="SKU/Listing"/>
    <x:tableColumn id="2" name="Campaign ID"/>
    <x:tableColumn id="3" name="动作"/>
    <x:tableColumn id="4" name="证据"/>
    <x:tableColumn id="5" name="后台执行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udgetLedger" displayName="BudgetLedger" ref="A4:J17" headerRowCount="1" totalsRowCount="0" totalsRowShown="0">
  <x:tableColumns count="10">
    <x:tableColumn id="1" name="SKU"/>
    <x:tableColumn id="2" name="投放层"/>
    <x:tableColumn id="3" name="Campaign"/>
    <x:tableColumn id="4" name="月预算"/>
    <x:tableColumn id="5" name="Daily Cap"/>
    <x:tableColumn id="6" name="实际花费(输入)"/>
    <x:tableColumn id="7" name="剩余预算"/>
    <x:tableColumn id="8" name="花费率"/>
    <x:tableColumn id="9" name="释放/上线Gate"/>
    <x:tableColumn id="10" name="负责人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MCpcTable" displayName="BMCpcTable" ref="A4:D10" headerRowCount="1" totalsRowCount="0" totalsRowShown="0">
  <x:tableColumns count="4">
    <x:tableColumn id="1" name="类目"/>
    <x:tableColumn id="2" name="BM CPC"/>
    <x:tableColumn id="3" name="来源"/>
    <x:tableColumn id="4" name="可用性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idAudit" displayName="BidAudit" ref="A13:G21" headerRowCount="1" totalsRowCount="0" totalsRowShown="0">
  <x:tableColumns count="7">
    <x:tableColumn id="1" name="层级"/>
    <x:tableColumn id="2" name="对象"/>
    <x:tableColumn id="3" name="当前Bid"/>
    <x:tableColumn id="4" name="实际CPC"/>
    <x:tableColumn id="5" name="BM CPC锚"/>
    <x:tableColumn id="6" name="建议动作"/>
    <x:tableColumn id="7" name="运营解释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erveRelease" displayName="ReserveRelease" ref="A4:D9" headerRowCount="1" totalsRowCount="0" totalsRowShown="0">
  <x:tableColumns count="4">
    <x:tableColumn id="1" name="顺序"/>
    <x:tableColumn id="2" name="释放对象"/>
    <x:tableColumn id="3" name="最高释放额"/>
    <x:tableColumn id="4" name="Day14必要条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646d05c27b40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633158d26f34d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5a6129b52ec42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799ac2c79ef4c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fae8f03c7db478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86e5847de634102" /><Relationship Type="http://schemas.openxmlformats.org/officeDocument/2006/relationships/table" Target="/xl/tables/table7.xml" Id="R6fcee3a592834b2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6603f3f3fc5748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8" max="8" width="34" hidden="0" customWidth="1"/>
    <x:col min="9" max="9" width="12" hidden="0" customWidth="1"/>
    <x:col min="1" max="1" width="7" hidden="0" customWidth="1"/>
    <x:col min="2" max="2" width="34" hidden="0" customWidth="1"/>
    <x:col min="3" max="3" width="40" hidden="0" customWidth="1"/>
    <x:col min="4" max="4" width="14" hidden="0" customWidth="1"/>
    <x:col min="5" max="5" width="12" hidden="0" customWidth="1"/>
  </x:cols>
  <x:sheetData>
    <x:row r="1" ht="34" customHeight="1">
      <x:c r="A1" s="87" t="str">
        <x:v>YB店 SKU广告重构执行清单</x:v>
      </x:c>
      <x:c r="B1" s="69"/>
      <x:c r="C1" s="69"/>
      <x:c r="D1" s="69"/>
      <x:c r="E1" s="69"/>
      <x:c r="F1" s="69"/>
      <x:c r="G1" s="69"/>
      <x:c r="H1" s="69"/>
      <x:c r="I1" s="69"/>
    </x:row>
    <x:row r="2" ht="32" customHeight="1">
      <x:c r="A2" s="70" t="str">
        <x:v>2026-06-14至2026-07-13（广告CSV）；后台执行前需以实时页面复核｜运营专家主导；未通过Day0 Gate的Campaign保持Paused。</x:v>
      </x:c>
      <x:c r="B2" s="69"/>
      <x:c r="C2" s="69"/>
      <x:c r="D2" s="69"/>
      <x:c r="E2" s="69"/>
      <x:c r="F2" s="69"/>
      <x:c r="G2" s="69"/>
      <x:c r="H2" s="69"/>
      <x:c r="I2" s="69"/>
    </x:row>
    <x:row r="3">
      <x:c r="A3" s="69"/>
      <x:c r="B3" s="69"/>
      <x:c r="C3" s="69"/>
      <x:c r="D3" s="69"/>
      <x:c r="E3" s="69"/>
      <x:c r="F3" s="69"/>
      <x:c r="G3" s="69"/>
      <x:c r="H3" s="69"/>
      <x:c r="I3" s="69"/>
    </x:row>
    <x:row r="4" ht="34" customHeight="1">
      <x:c r="A4" s="71" t="str">
        <x:v>运营否决：课件仅有BM CPC，不是BM Bid；库存ID、实时后台状态和共享Keyword拆分未确认前，不允许直接全量上线。</x:v>
      </x:c>
      <x:c r="B4" s="69"/>
      <x:c r="C4" s="69"/>
      <x:c r="D4" s="69"/>
      <x:c r="E4" s="69"/>
      <x:c r="F4" s="69"/>
      <x:c r="G4" s="69"/>
      <x:c r="H4" s="69"/>
      <x:c r="I4" s="69"/>
    </x:row>
    <x:row r="5">
      <x:c r="A5" s="69"/>
      <x:c r="B5" s="69"/>
      <x:c r="C5" s="69"/>
      <x:c r="D5" s="69"/>
      <x:c r="E5" s="69"/>
      <x:c r="F5" s="69"/>
      <x:c r="G5" s="69"/>
      <x:c r="H5" s="69"/>
      <x:c r="I5" s="69"/>
    </x:row>
    <x:row r="6">
      <x:c r="A6" s="72" t="str">
        <x:v>核心KPI</x:v>
      </x:c>
      <x:c r="B6" s="72" t="str">
        <x:v>值</x:v>
      </x:c>
      <x:c r="C6" s="69"/>
      <x:c r="D6" s="69"/>
      <x:c r="E6" s="69"/>
      <x:c r="F6" s="69"/>
      <x:c r="G6" s="69"/>
      <x:c r="H6" s="73" t="str">
        <x:v>Campaign预算核对</x:v>
      </x:c>
      <x:c r="I6" s="73" t="str">
        <x:v>月预算</x:v>
      </x:c>
    </x:row>
    <x:row r="7">
      <x:c r="A7" s="74" t="str">
        <x:v>总预算</x:v>
      </x:c>
      <x:c r="B7" s="75" t="n">
        <x:f>SUM(I7:I19)</x:f>
        <x:v>1800</x:v>
      </x:c>
      <x:c r="C7" s="69"/>
      <x:c r="D7" s="69"/>
      <x:c r="E7" s="69"/>
      <x:c r="F7" s="69"/>
      <x:c r="G7" s="69"/>
      <x:c r="H7" s="69" t="str">
        <x:v>YB_US_KW_DMOM1021_CORE_202608</x:v>
      </x:c>
      <x:c r="I7" s="76" t="n">
        <x:v>380</x:v>
      </x:c>
    </x:row>
    <x:row r="8">
      <x:c r="A8" s="74" t="str">
        <x:v>Day1可设置预算</x:v>
      </x:c>
      <x:c r="B8" s="75" t="n">
        <x:f>B7-B9</x:f>
        <x:v>1570</x:v>
      </x:c>
      <x:c r="C8" s="69"/>
      <x:c r="D8" s="69"/>
      <x:c r="E8" s="69"/>
      <x:c r="F8" s="69"/>
      <x:c r="G8" s="69"/>
      <x:c r="H8" s="69" t="str">
        <x:v>DMOM1021-宽二680</x:v>
      </x:c>
      <x:c r="I8" s="76" t="n">
        <x:v>320</x:v>
      </x:c>
    </x:row>
    <x:row r="9">
      <x:c r="A9" s="74" t="str">
        <x:v>锁定机动预算</x:v>
      </x:c>
      <x:c r="B9" s="75" t="n">
        <x:f>I19</x:f>
        <x:v>230</x:v>
      </x:c>
      <x:c r="C9" s="69"/>
      <x:c r="D9" s="69"/>
      <x:c r="E9" s="69"/>
      <x:c r="F9" s="69"/>
      <x:c r="G9" s="69"/>
      <x:c r="H9" s="69" t="str">
        <x:v>YB_US_KW_DMOM1022_MOBILE_202608</x:v>
      </x:c>
      <x:c r="I9" s="76" t="n">
        <x:v>120</x:v>
      </x:c>
    </x:row>
    <x:row r="10">
      <x:c r="A10" s="69"/>
      <x:c r="B10" s="69"/>
      <x:c r="C10" s="69"/>
      <x:c r="D10" s="69"/>
      <x:c r="E10" s="69"/>
      <x:c r="F10" s="69"/>
      <x:c r="G10" s="69"/>
      <x:c r="H10" s="69" t="str">
        <x:v>DMOM1022-三抽活动柜(US)</x:v>
      </x:c>
      <x:c r="I10" s="76" t="n">
        <x:v>220</x:v>
      </x:c>
    </x:row>
    <x:row r="11" ht="28" customHeight="1">
      <x:c r="A11" s="77" t="str">
        <x:v>执行顺序：Day0核验 → 新Campaign以Paused创建 → 双人QA → ET 00:00切换 → Day7先行止损 → Day14确认放量</x:v>
      </x:c>
      <x:c r="B11" s="69"/>
      <x:c r="C11" s="69"/>
      <x:c r="D11" s="69"/>
      <x:c r="E11" s="69"/>
      <x:c r="F11" s="69"/>
      <x:c r="G11" s="69"/>
      <x:c r="H11" s="69" t="str">
        <x:v>DMOM1022-三抽活动柜-Canada</x:v>
      </x:c>
      <x:c r="I11" s="76" t="n">
        <x:v>50</x:v>
      </x:c>
    </x:row>
    <x:row r="12">
      <x:c r="A12" s="69"/>
      <x:c r="B12" s="69"/>
      <x:c r="C12" s="69"/>
      <x:c r="D12" s="69"/>
      <x:c r="E12" s="69"/>
      <x:c r="F12" s="69"/>
      <x:c r="G12" s="69"/>
      <x:c r="H12" s="69" t="str">
        <x:v>YB_US_KW_DMOM1019_CORE_202608</x:v>
      </x:c>
      <x:c r="I12" s="76" t="n">
        <x:v>200</x:v>
      </x:c>
    </x:row>
    <x:row r="13" ht="34" customHeight="1">
      <x:c r="A13" s="78" t="str">
        <x:v>序号</x:v>
      </x:c>
      <x:c r="B13" s="79" t="str">
        <x:v>Day0动作</x:v>
      </x:c>
      <x:c r="C13" s="79" t="str">
        <x:v>验收标准</x:v>
      </x:c>
      <x:c r="D13" s="79" t="str">
        <x:v>负责人</x:v>
      </x:c>
      <x:c r="E13" s="80" t="str">
        <x:v>状态</x:v>
      </x:c>
      <x:c r="F13" s="69"/>
      <x:c r="G13" s="69"/>
      <x:c r="H13" s="69" t="str">
        <x:v>DMOM1019-窄三-VFC-3B</x:v>
      </x:c>
      <x:c r="I13" s="76" t="n">
        <x:v>90</x:v>
      </x:c>
    </x:row>
    <x:row r="14">
      <x:c r="A14" s="81" t="n">
        <x:v>1</x:v>
      </x:c>
      <x:c r="B14" s="82" t="str">
        <x:v>重新导出/截图当前Campaign、Bid、Cap、Active状态</x:v>
      </x:c>
      <x:c r="C14" s="82" t="str">
        <x:v>任何差异&gt;10%以后台为准</x:v>
      </x:c>
      <x:c r="D14" s="82" t="str">
        <x:v>广告运营</x:v>
      </x:c>
      <x:c r="E14" s="83" t="str">
        <x:v>未开始</x:v>
      </x:c>
      <x:c r="F14" s="69"/>
      <x:c r="G14" s="69"/>
      <x:c r="H14" s="69" t="str">
        <x:v>YB_US_KW_DMOM1003_TEST_202608</x:v>
      </x:c>
      <x:c r="I14" s="76" t="n">
        <x:v>50</x:v>
      </x:c>
    </x:row>
    <x:row r="15">
      <x:c r="A15" s="81" t="n">
        <x:v>2</x:v>
      </x:c>
      <x:c r="B15" s="82" t="str">
        <x:v>确认YB Supplier ID及库存共享规则</x:v>
      </x:c>
      <x:c r="C15" s="82" t="str">
        <x:v>未确认前不以汇总库存解锁放量</x:v>
      </x:c>
      <x:c r="D15" s="82" t="str">
        <x:v>供应链</x:v>
      </x:c>
      <x:c r="E15" s="83" t="str">
        <x:v>未开始</x:v>
      </x:c>
      <x:c r="F15" s="69"/>
      <x:c r="G15" s="69"/>
      <x:c r="H15" s="69" t="str">
        <x:v>HIGH_POTENTIAL_SKU-Wayfair(US)-0507</x:v>
      </x:c>
      <x:c r="I15" s="76" t="n">
        <x:v>90</x:v>
      </x:c>
    </x:row>
    <x:row r="16">
      <x:c r="A16" s="81" t="n">
        <x:v>3</x:v>
      </x:c>
      <x:c r="B16" s="82" t="str">
        <x:v>从622723与597350移除DRCI1007</x:v>
      </x:c>
      <x:c r="C16" s="82" t="str">
        <x:v>不得暂停597350整组误伤其他Listing</x:v>
      </x:c>
      <x:c r="D16" s="82" t="str">
        <x:v>广告运营</x:v>
      </x:c>
      <x:c r="E16" s="83" t="str">
        <x:v>未开始</x:v>
      </x:c>
      <x:c r="F16" s="69"/>
      <x:c r="G16" s="69"/>
      <x:c r="H16" s="69" t="str">
        <x:v>DMOM1018-LFC-2B-宽二</x:v>
      </x:c>
      <x:c r="I16" s="76" t="n">
        <x:v>30</x:v>
      </x:c>
    </x:row>
    <x:row r="17">
      <x:c r="A17" s="81" t="n">
        <x:v>4</x:v>
      </x:c>
      <x:c r="B17" s="82" t="str">
        <x:v>按SKU创建新Keyword Campaign，初始Paused</x:v>
      </x:c>
      <x:c r="C17" s="82" t="str">
        <x:v>核对US站点、Listing、Match、Bid、Cap</x:v>
      </x:c>
      <x:c r="D17" s="82" t="str">
        <x:v>广告运营</x:v>
      </x:c>
      <x:c r="E17" s="83" t="str">
        <x:v>未开始</x:v>
      </x:c>
      <x:c r="F17" s="69"/>
      <x:c r="G17" s="69"/>
      <x:c r="H17" s="69" t="str">
        <x:v>3 Tier shelves-三层置物架</x:v>
      </x:c>
      <x:c r="I17" s="76" t="n">
        <x:v>10</x:v>
      </x:c>
    </x:row>
    <x:row r="18">
      <x:c r="A18" s="81" t="n">
        <x:v>5</x:v>
      </x:c>
      <x:c r="B18" s="82" t="str">
        <x:v>双人QA新旧Campaign清单</x:v>
      </x:c>
      <x:c r="C18" s="82" t="str">
        <x:v>记录新Campaign ID；关键词数量与本表一致</x:v>
      </x:c>
      <x:c r="D18" s="82" t="str">
        <x:v>运营经理</x:v>
      </x:c>
      <x:c r="E18" s="83" t="str">
        <x:v>未开始</x:v>
      </x:c>
      <x:c r="F18" s="69"/>
      <x:c r="G18" s="69"/>
      <x:c r="H18" s="69" t="str">
        <x:v>DMOM1000-中型货架</x:v>
      </x:c>
      <x:c r="I18" s="76" t="n">
        <x:v>10</x:v>
      </x:c>
    </x:row>
    <x:row r="19">
      <x:c r="A19" s="81" t="n">
        <x:v>5.5</x:v>
      </x:c>
      <x:c r="B19" s="82" t="str">
        <x:v>检查generic唯一归属与Negative Exact</x:v>
      </x:c>
      <x:c r="C19" s="82" t="str">
        <x:v>file cabinet仅1021；filing cabinets仅1019；filing cabinet全停</x:v>
      </x:c>
      <x:c r="D19" s="82" t="str">
        <x:v>运营经理</x:v>
      </x:c>
      <x:c r="E19" s="83" t="str">
        <x:v>未开始</x:v>
      </x:c>
      <x:c r="F19" s="69"/>
      <x:c r="G19" s="69"/>
      <x:c r="H19" s="69" t="str">
        <x:v>7日Gate机动池</x:v>
      </x:c>
      <x:c r="I19" s="76" t="n">
        <x:v>230</x:v>
      </x:c>
    </x:row>
    <x:row r="20">
      <x:c r="A20" s="81" t="n">
        <x:v>6</x:v>
      </x:c>
      <x:c r="B20" s="82" t="str">
        <x:v>ET 00:00同时暂停597350、598135、661593，再启用新SKU组</x:v>
      </x:c>
      <x:c r="C20" s="82" t="str">
        <x:v>三个旧组全部暂停；新旧不得重叠花费</x:v>
      </x:c>
      <x:c r="D20" s="82" t="str">
        <x:v>广告运营</x:v>
      </x:c>
      <x:c r="E20" s="83" t="str">
        <x:v>未开始</x:v>
      </x:c>
      <x:c r="F20" s="69"/>
      <x:c r="G20" s="69"/>
      <x:c r="H20" s="69"/>
      <x:c r="I20" s="69"/>
    </x:row>
    <x:row r="21">
      <x:c r="A21" s="81" t="n">
        <x:v>7</x:v>
      </x:c>
      <x:c r="B21" s="82" t="str">
        <x:v>设置Product Bid/Cap与1021 B2B +50%</x:v>
      </x:c>
      <x:c r="C21" s="82" t="str">
        <x:v>其他SKU B2B Adjustment=0%</x:v>
      </x:c>
      <x:c r="D21" s="82" t="str">
        <x:v>广告运营</x:v>
      </x:c>
      <x:c r="E21" s="83" t="str">
        <x:v>未开始</x:v>
      </x:c>
      <x:c r="F21" s="69"/>
      <x:c r="G21" s="69"/>
      <x:c r="H21" s="69"/>
      <x:c r="I21" s="69"/>
    </x:row>
    <x:row r="22">
      <x:c r="A22" s="84" t="n">
        <x:v>8</x:v>
      </x:c>
      <x:c r="B22" s="85" t="str">
        <x:v>建立7/14天复盘台账</x:v>
      </x:c>
      <x:c r="C22" s="85" t="str">
        <x:v>按Campaign+Listing+Keyword记录</x:v>
      </x:c>
      <x:c r="D22" s="85" t="str">
        <x:v>数据分析</x:v>
      </x:c>
      <x:c r="E22" s="86" t="str">
        <x:v>未开始</x:v>
      </x:c>
      <x:c r="F22" s="69"/>
      <x:c r="G22" s="69"/>
      <x:c r="H22" s="69"/>
      <x:c r="I22" s="69"/>
    </x:row>
  </x:sheetData>
  <x:mergeCells>
    <x:mergeCell ref="A1:L1"/>
    <x:mergeCell ref="A2:L2"/>
    <x:mergeCell ref="A4:L4"/>
    <x:mergeCell ref="A11:L11"/>
  </x:mergeCells>
  <x:conditionalFormatting sqref="E14:E40">
    <x:cfRule type="containsText" dxfId="0" priority="1" operator="containsText" text="阻塞"/>
  </x:conditionalFormatting>
  <x:dataValidations count="1">
    <x:dataValidation type="list" sqref="E14:E40">
      <x:formula1>"未开始,进行中,已完成,阻塞"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646d05c27b401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3" hidden="0" customWidth="1"/>
    <x:col min="3" max="3" width="24" hidden="0" customWidth="1"/>
    <x:col min="4" max="4" width="16" hidden="0" customWidth="1"/>
    <x:col min="5" max="5" width="12" hidden="0" customWidth="1"/>
    <x:col min="6" max="6" width="14" hidden="0" customWidth="1"/>
    <x:col min="7" max="7" width="32" hidden="0" customWidth="1"/>
    <x:col min="8" max="8" width="12" hidden="0" customWidth="1"/>
    <x:col min="9" max="9" width="12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1" hidden="0" customWidth="1"/>
    <x:col min="16" max="16" width="11" hidden="0" customWidth="1"/>
    <x:col min="17" max="17" width="10" hidden="0" customWidth="1"/>
    <x:col min="18" max="18" width="40" hidden="0" customWidth="1"/>
    <x:col min="19" max="19" width="36" hidden="0" customWidth="1"/>
    <x:col min="20" max="20" width="40" hidden="0" customWidth="1"/>
    <x:col min="21" max="21" width="14" hidden="0" customWidth="1"/>
  </x:cols>
  <x:sheetData>
    <x:row r="1" ht="34" customHeight="1">
      <x:c r="A1" s="87" t="str">
        <x:v>Campaign级后台执行表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  <x:c r="S1" s="69"/>
      <x:c r="T1" s="69"/>
      <x:c r="U1" s="69"/>
    </x:row>
    <x:row r="2" ht="32" customHeight="1">
      <x:c r="A2" s="70" t="str">
        <x:v>预算必须落到Campaign Cap；B2B只能配置Bid Adjustment，不能单独锁美元预算。</x:v>
      </x:c>
      <x:c r="B2" s="69"/>
      <x:c r="C2" s="69"/>
      <x:c r="D2" s="69"/>
      <x:c r="E2" s="69"/>
      <x:c r="F2" s="69"/>
      <x:c r="G2" s="69"/>
      <x:c r="H2" s="69"/>
      <x:c r="I2" s="69"/>
      <x:c r="J2" s="69"/>
      <x:c r="K2" s="69"/>
      <x:c r="L2" s="69"/>
      <x:c r="M2" s="69"/>
      <x:c r="N2" s="69"/>
      <x:c r="O2" s="69"/>
      <x:c r="P2" s="69"/>
      <x:c r="Q2" s="69"/>
      <x:c r="R2" s="69"/>
      <x:c r="S2" s="69"/>
      <x:c r="T2" s="69"/>
      <x:c r="U2" s="69"/>
    </x:row>
    <x:row r="3">
      <x:c r="A3" s="69"/>
      <x:c r="B3" s="69"/>
      <x:c r="C3" s="69"/>
      <x:c r="D3" s="69"/>
      <x:c r="E3" s="69"/>
      <x:c r="F3" s="69"/>
      <x:c r="G3" s="69"/>
      <x:c r="H3" s="69"/>
      <x:c r="I3" s="69"/>
      <x:c r="J3" s="69"/>
      <x:c r="K3" s="69"/>
      <x:c r="L3" s="69"/>
      <x:c r="M3" s="69"/>
      <x:c r="N3" s="69"/>
      <x:c r="O3" s="69"/>
      <x:c r="P3" s="69"/>
      <x:c r="Q3" s="69"/>
      <x:c r="R3" s="69"/>
      <x:c r="S3" s="69"/>
      <x:c r="T3" s="69"/>
      <x:c r="U3" s="69"/>
    </x:row>
    <x:row r="4" ht="34" customHeight="1">
      <x:c r="A4" s="78" t="str">
        <x:v>优先级</x:v>
      </x:c>
      <x:c r="B4" s="79" t="str">
        <x:v>SKU/Listing</x:v>
      </x:c>
      <x:c r="C4" s="79" t="str">
        <x:v>Supplier Parts</x:v>
      </x:c>
      <x:c r="D4" s="79" t="str">
        <x:v>投放层</x:v>
      </x:c>
      <x:c r="E4" s="79" t="str">
        <x:v>动作</x:v>
      </x:c>
      <x:c r="F4" s="79" t="str">
        <x:v>现Campaign ID</x:v>
      </x:c>
      <x:c r="G4" s="79" t="str">
        <x:v>Campaign名称</x:v>
      </x:c>
      <x:c r="H4" s="79" t="str">
        <x:v>当前状态</x:v>
      </x:c>
      <x:c r="I4" s="79" t="str">
        <x:v>策略</x:v>
      </x:c>
      <x:c r="J4" s="79" t="str">
        <x:v>当前Bid</x:v>
      </x:c>
      <x:c r="K4" s="79" t="str">
        <x:v>实际CPC</x:v>
      </x:c>
      <x:c r="L4" s="79" t="str">
        <x:v>BM CPC锚</x:v>
      </x:c>
      <x:c r="M4" s="79" t="str">
        <x:v>建议Bid</x:v>
      </x:c>
      <x:c r="N4" s="79" t="str">
        <x:v>Bid硬上限</x:v>
      </x:c>
      <x:c r="O4" s="79" t="str">
        <x:v>月预算</x:v>
      </x:c>
      <x:c r="P4" s="79" t="str">
        <x:v>Daily Cap</x:v>
      </x:c>
      <x:c r="Q4" s="79" t="str">
        <x:v>B2B调整</x:v>
      </x:c>
      <x:c r="R4" s="79" t="str">
        <x:v>上线Gate</x:v>
      </x:c>
      <x:c r="S4" s="79" t="str">
        <x:v>Day7动作</x:v>
      </x:c>
      <x:c r="T4" s="79" t="str">
        <x:v>Day14动作</x:v>
      </x:c>
      <x:c r="U4" s="80" t="str">
        <x:v>负责人</x:v>
      </x:c>
    </x:row>
    <x:row r="5">
      <x:c r="A5" s="81" t="str">
        <x:v>P0</x:v>
      </x:c>
      <x:c r="B5" s="82" t="str">
        <x:v>DMOM1021</x:v>
      </x:c>
      <x:c r="C5" s="82" t="str">
        <x:v>LFC-2B-680 / LFC-2W-680</x:v>
      </x:c>
      <x:c r="D5" s="82" t="str">
        <x:v>Keyword Core</x:v>
      </x:c>
      <x:c r="E5" s="82" t="str">
        <x:v>新建</x:v>
      </x:c>
      <x:c r="F5" s="82" t="str"/>
      <x:c r="G5" s="82" t="str">
        <x:v>YB_US_KW_DMOM1021_CORE_202608</x:v>
      </x:c>
      <x:c r="H5" s="82" t="str">
        <x:v>先Paused</x:v>
      </x:c>
      <x:c r="I5" s="82" t="str">
        <x:v>Manual</x:v>
      </x:c>
      <x:c r="J5" s="88"/>
      <x:c r="K5" s="88"/>
      <x:c r="L5" s="88" t="n">
        <x:v>0.53</x:v>
      </x:c>
      <x:c r="M5" s="88"/>
      <x:c r="N5" s="88"/>
      <x:c r="O5" s="88" t="n">
        <x:v>380</x:v>
      </x:c>
      <x:c r="P5" s="88" t="n">
        <x:v>12.26</x:v>
      </x:c>
      <x:c r="Q5" s="82" t="str">
        <x:v>+0%</x:v>
      </x:c>
      <x:c r="R5" s="82" t="str">
        <x:v>US站点/Listing/关键词/Negative双人QA；旧597350待切换</x:v>
      </x:c>
      <x:c r="S5" s="82" t="str">
        <x:v>新增≥20击0单暂停；发现非owner generic当天加Negative Exact</x:v>
      </x:c>
      <x:c r="T5" s="82" t="str">
        <x:v>&lt;2×暂停；2–3.2× Bid-15%；3.2–4×维持；≥4×且≥3单/CVR≥2%才加Cap</x:v>
      </x:c>
      <x:c r="U5" s="83" t="str">
        <x:v>广告运营</x:v>
      </x:c>
    </x:row>
    <x:row r="6">
      <x:c r="A6" s="81" t="str">
        <x:v>P0</x:v>
      </x:c>
      <x:c r="B6" s="82" t="str">
        <x:v>DMOM1021</x:v>
      </x:c>
      <x:c r="C6" s="82" t="str">
        <x:v>LFC-2B-680 / LFC-2W-680</x:v>
      </x:c>
      <x:c r="D6" s="82" t="str">
        <x:v>Product US</x:v>
      </x:c>
      <x:c r="E6" s="82" t="str">
        <x:v>调整</x:v>
      </x:c>
      <x:c r="F6" s="82" t="str">
        <x:v>622725</x:v>
      </x:c>
      <x:c r="G6" s="82" t="str">
        <x:v>DMOM1021-宽二680</x:v>
      </x:c>
      <x:c r="H6" s="82" t="str">
        <x:v>ACTIVE</x:v>
      </x:c>
      <x:c r="I6" s="82" t="str">
        <x:v>Manual</x:v>
      </x:c>
      <x:c r="J6" s="88" t="n">
        <x:v>0.68</x:v>
      </x:c>
      <x:c r="K6" s="88" t="n">
        <x:v>0.6848</x:v>
      </x:c>
      <x:c r="L6" s="88" t="n">
        <x:v>0.53</x:v>
      </x:c>
      <x:c r="M6" s="88" t="n">
        <x:v>0.55</x:v>
      </x:c>
      <x:c r="N6" s="88" t="n">
        <x:v>0.58</x:v>
      </x:c>
      <x:c r="O6" s="88" t="n">
        <x:v>320</x:v>
      </x:c>
      <x:c r="P6" s="88" t="n">
        <x:v>10.32</x:v>
      </x:c>
      <x:c r="Q6" s="82" t="str">
        <x:v>+50%</x:v>
      </x:c>
      <x:c r="R6" s="82" t="str">
        <x:v>Live、库存ID确认、无Catalog restriction</x:v>
      </x:c>
      <x:c r="S6" s="82" t="str">
        <x:v>先控Cap；新增≥20击0单暂停</x:v>
      </x:c>
      <x:c r="T6" s="82" t="str">
        <x:v>&lt;2×暂停；2–3.2× Bid-15%；3.2–4×维持；≥4×且≥3单/CVR≥2%才加Cap</x:v>
      </x:c>
      <x:c r="U6" s="83" t="str">
        <x:v>广告运营</x:v>
      </x:c>
    </x:row>
    <x:row r="7">
      <x:c r="A7" s="81" t="str">
        <x:v>P0</x:v>
      </x:c>
      <x:c r="B7" s="82" t="str">
        <x:v>DMOM1022</x:v>
      </x:c>
      <x:c r="C7" s="82" t="str">
        <x:v>MFC-D3-W / MFC-D3-B</x:v>
      </x:c>
      <x:c r="D7" s="82" t="str">
        <x:v>Keyword Mobile</x:v>
      </x:c>
      <x:c r="E7" s="82" t="str">
        <x:v>新建</x:v>
      </x:c>
      <x:c r="F7" s="82" t="str"/>
      <x:c r="G7" s="82" t="str">
        <x:v>YB_US_KW_DMOM1022_MOBILE_202608</x:v>
      </x:c>
      <x:c r="H7" s="82" t="str">
        <x:v>先Paused</x:v>
      </x:c>
      <x:c r="I7" s="82" t="str">
        <x:v>Manual</x:v>
      </x:c>
      <x:c r="J7" s="88"/>
      <x:c r="K7" s="88"/>
      <x:c r="L7" s="88" t="n">
        <x:v>0.53</x:v>
      </x:c>
      <x:c r="M7" s="88"/>
      <x:c r="N7" s="88"/>
      <x:c r="O7" s="88" t="n">
        <x:v>120</x:v>
      </x:c>
      <x:c r="P7" s="88" t="n">
        <x:v>3.87</x:v>
      </x:c>
      <x:c r="Q7" s="82" t="str">
        <x:v>+0%</x:v>
      </x:c>
      <x:c r="R7" s="82" t="str">
        <x:v>只投mobile/rolling/3-drawer结构词；旧598135/661593待切换</x:v>
      </x:c>
      <x:c r="S7" s="82" t="str">
        <x:v>新增≥20击0单暂停；前14天不碰generic</x:v>
      </x:c>
      <x:c r="T7" s="82" t="str">
        <x:v>&lt;2×暂停；2–3.2× Bid-15%；3.2–4×维持；≥4×且≥3单/CVR≥2%才加Cap</x:v>
      </x:c>
      <x:c r="U7" s="83" t="str">
        <x:v>广告运营</x:v>
      </x:c>
    </x:row>
    <x:row r="8">
      <x:c r="A8" s="81" t="str">
        <x:v>P0</x:v>
      </x:c>
      <x:c r="B8" s="82" t="str">
        <x:v>DMOM1022</x:v>
      </x:c>
      <x:c r="C8" s="82" t="str">
        <x:v>MFC-D3-W / MFC-D3-B</x:v>
      </x:c>
      <x:c r="D8" s="82" t="str">
        <x:v>Product US</x:v>
      </x:c>
      <x:c r="E8" s="82" t="str">
        <x:v>调整</x:v>
      </x:c>
      <x:c r="F8" s="82" t="str">
        <x:v>622721</x:v>
      </x:c>
      <x:c r="G8" s="82" t="str">
        <x:v>DMOM1022-三抽活动柜(US)</x:v>
      </x:c>
      <x:c r="H8" s="82" t="str">
        <x:v>ACTIVE</x:v>
      </x:c>
      <x:c r="I8" s="82" t="str">
        <x:v>Manual</x:v>
      </x:c>
      <x:c r="J8" s="88" t="n">
        <x:v>0.6</x:v>
      </x:c>
      <x:c r="K8" s="88" t="n">
        <x:v>0.747</x:v>
      </x:c>
      <x:c r="L8" s="88" t="n">
        <x:v>0.53</x:v>
      </x:c>
      <x:c r="M8" s="88" t="n">
        <x:v>0.42</x:v>
      </x:c>
      <x:c r="N8" s="88" t="n">
        <x:v>0.48</x:v>
      </x:c>
      <x:c r="O8" s="88" t="n">
        <x:v>220</x:v>
      </x:c>
      <x:c r="P8" s="88" t="n">
        <x:v>7.1</x:v>
      </x:c>
      <x:c r="Q8" s="82" t="str">
        <x:v>+0%</x:v>
      </x:c>
      <x:c r="R8" s="82" t="str">
        <x:v>Live、库存ID确认；B2B先关闭加权</x:v>
      </x:c>
      <x:c r="S8" s="82" t="str">
        <x:v>新增≥20击0单暂停；不因7天ROAS单独扩量</x:v>
      </x:c>
      <x:c r="T8" s="82" t="str">
        <x:v>&lt;2×暂停；2–3.2× Bid-15%；3.2–4×维持；≥4×且≥3单/CVR≥2%才加Cap</x:v>
      </x:c>
      <x:c r="U8" s="83" t="str">
        <x:v>广告运营</x:v>
      </x:c>
    </x:row>
    <x:row r="9">
      <x:c r="A9" s="81" t="str">
        <x:v>P1</x:v>
      </x:c>
      <x:c r="B9" s="82" t="str">
        <x:v>DMOM1022</x:v>
      </x:c>
      <x:c r="C9" s="82" t="str">
        <x:v>MFC-D3-W / MFC-D3-B</x:v>
      </x:c>
      <x:c r="D9" s="82" t="str">
        <x:v>Product Canada</x:v>
      </x:c>
      <x:c r="E9" s="82" t="str">
        <x:v>保留限额</x:v>
      </x:c>
      <x:c r="F9" s="82" t="str">
        <x:v>622722</x:v>
      </x:c>
      <x:c r="G9" s="82" t="str">
        <x:v>DMOM1022-三抽活动柜-Canada</x:v>
      </x:c>
      <x:c r="H9" s="82" t="str">
        <x:v>ACTIVE</x:v>
      </x:c>
      <x:c r="I9" s="82" t="str">
        <x:v>Manual</x:v>
      </x:c>
      <x:c r="J9" s="88" t="n">
        <x:v>0.5</x:v>
      </x:c>
      <x:c r="K9" s="88" t="n">
        <x:v>0.5656</x:v>
      </x:c>
      <x:c r="L9" s="88"/>
      <x:c r="M9" s="88" t="n">
        <x:v>0.45</x:v>
      </x:c>
      <x:c r="N9" s="88" t="n">
        <x:v>0.5</x:v>
      </x:c>
      <x:c r="O9" s="88" t="n">
        <x:v>50</x:v>
      </x:c>
      <x:c r="P9" s="88" t="n">
        <x:v>1.61</x:v>
      </x:c>
      <x:c r="Q9" s="82" t="str">
        <x:v>+0%</x:v>
      </x:c>
      <x:c r="R9" s="82" t="str">
        <x:v>仅Canada；累计花费$50硬停</x:v>
      </x:c>
      <x:c r="S9" s="82" t="str">
        <x:v>新增≥20击0单暂停</x:v>
      </x:c>
      <x:c r="T9" s="82" t="str">
        <x:v>&lt;2×暂停；2–3.2× Bid-15%；3.2–4×维持；≥4×且≥3单/CVR≥2%才加Cap</x:v>
      </x:c>
      <x:c r="U9" s="83" t="str">
        <x:v>广告运营</x:v>
      </x:c>
    </x:row>
    <x:row r="10">
      <x:c r="A10" s="81" t="str">
        <x:v>P0</x:v>
      </x:c>
      <x:c r="B10" s="82" t="str">
        <x:v>DMOM1019</x:v>
      </x:c>
      <x:c r="C10" s="82" t="str">
        <x:v>VFC-3B / VFC-3W</x:v>
      </x:c>
      <x:c r="D10" s="82" t="str">
        <x:v>Keyword Core</x:v>
      </x:c>
      <x:c r="E10" s="82" t="str">
        <x:v>新建</x:v>
      </x:c>
      <x:c r="F10" s="82" t="str"/>
      <x:c r="G10" s="82" t="str">
        <x:v>YB_US_KW_DMOM1019_CORE_202608</x:v>
      </x:c>
      <x:c r="H10" s="82" t="str">
        <x:v>先Paused</x:v>
      </x:c>
      <x:c r="I10" s="82" t="str">
        <x:v>Manual</x:v>
      </x:c>
      <x:c r="J10" s="88"/>
      <x:c r="K10" s="88"/>
      <x:c r="L10" s="88" t="n">
        <x:v>0.53</x:v>
      </x:c>
      <x:c r="M10" s="88"/>
      <x:c r="N10" s="88"/>
      <x:c r="O10" s="88" t="n">
        <x:v>200</x:v>
      </x:c>
      <x:c r="P10" s="88" t="n">
        <x:v>6.45</x:v>
      </x:c>
      <x:c r="Q10" s="82" t="str">
        <x:v>+0%</x:v>
      </x:c>
      <x:c r="R10" s="82" t="str">
        <x:v>US站点/Listing/关键词/Negative双人QA；旧597350待切换</x:v>
      </x:c>
      <x:c r="S10" s="82" t="str">
        <x:v>新增≥20击0单暂停；发现非owner generic当天加Negative Exact</x:v>
      </x:c>
      <x:c r="T10" s="82" t="str">
        <x:v>&lt;2×暂停；2–3.2× Bid-15%；3.2–4×维持；≥4×且≥3单/CVR≥2%才加Cap</x:v>
      </x:c>
      <x:c r="U10" s="83" t="str">
        <x:v>广告运营</x:v>
      </x:c>
    </x:row>
    <x:row r="11">
      <x:c r="A11" s="81" t="str">
        <x:v>P1</x:v>
      </x:c>
      <x:c r="B11" s="82" t="str">
        <x:v>DMOM1019</x:v>
      </x:c>
      <x:c r="C11" s="82" t="str">
        <x:v>VFC-3B / VFC-3W</x:v>
      </x:c>
      <x:c r="D11" s="82" t="str">
        <x:v>Product US</x:v>
      </x:c>
      <x:c r="E11" s="82" t="str">
        <x:v>条件重启</x:v>
      </x:c>
      <x:c r="F11" s="82" t="str">
        <x:v>622737</x:v>
      </x:c>
      <x:c r="G11" s="82" t="str">
        <x:v>DMOM1019-窄三-VFC-3B</x:v>
      </x:c>
      <x:c r="H11" s="82" t="str">
        <x:v>INACTIVE</x:v>
      </x:c>
      <x:c r="I11" s="82" t="str">
        <x:v>Manual</x:v>
      </x:c>
      <x:c r="J11" s="88" t="n">
        <x:v>0.58</x:v>
      </x:c>
      <x:c r="K11" s="88" t="n">
        <x:v>0.6767</x:v>
      </x:c>
      <x:c r="L11" s="88" t="n">
        <x:v>0.53</x:v>
      </x:c>
      <x:c r="M11" s="88" t="n">
        <x:v>0.38</x:v>
      </x:c>
      <x:c r="N11" s="88" t="n">
        <x:v>0.45</x:v>
      </x:c>
      <x:c r="O11" s="88" t="n">
        <x:v>90</x:v>
      </x:c>
      <x:c r="P11" s="88" t="n">
        <x:v>2.9</x:v>
      </x:c>
      <x:c r="Q11" s="82" t="str">
        <x:v>+0%</x:v>
      </x:c>
      <x:c r="R11" s="82" t="str">
        <x:v>后台Listing仍Inactive则运营否决启用；Live/库存同时通过</x:v>
      </x:c>
      <x:c r="S11" s="82" t="str">
        <x:v>新增≥20击0单暂停</x:v>
      </x:c>
      <x:c r="T11" s="82" t="str">
        <x:v>&lt;2×暂停；2–3.2× Bid-15%；3.2–4×维持；≥4×且≥3单/CVR≥2%才加Cap</x:v>
      </x:c>
      <x:c r="U11" s="83" t="str">
        <x:v>广告运营</x:v>
      </x:c>
    </x:row>
    <x:row r="12">
      <x:c r="A12" s="81" t="str">
        <x:v>P1</x:v>
      </x:c>
      <x:c r="B12" s="82" t="str">
        <x:v>DMOM1003</x:v>
      </x:c>
      <x:c r="C12" s="82" t="str">
        <x:v>4T-Kayak</x:v>
      </x:c>
      <x:c r="D12" s="82" t="str">
        <x:v>Keyword Mixed</x:v>
      </x:c>
      <x:c r="E12" s="82" t="str">
        <x:v>新建测试</x:v>
      </x:c>
      <x:c r="F12" s="82" t="str"/>
      <x:c r="G12" s="82" t="str">
        <x:v>YB_US_KW_DMOM1003_TEST_202608</x:v>
      </x:c>
      <x:c r="H12" s="82" t="str">
        <x:v>先Paused</x:v>
      </x:c>
      <x:c r="I12" s="82" t="str">
        <x:v>Manual</x:v>
      </x:c>
      <x:c r="J12" s="88"/>
      <x:c r="K12" s="88"/>
      <x:c r="L12" s="88" t="n">
        <x:v>0.57</x:v>
      </x:c>
      <x:c r="M12" s="88"/>
      <x:c r="N12" s="88"/>
      <x:c r="O12" s="88" t="n">
        <x:v>50</x:v>
      </x:c>
      <x:c r="P12" s="88" t="n">
        <x:v>1.61</x:v>
      </x:c>
      <x:c r="Q12" s="82" t="str">
        <x:v>+0%</x:v>
      </x:c>
      <x:c r="R12" s="82" t="str">
        <x:v>无历史关键词证据；只投高度相关词；库存ID确认</x:v>
      </x:c>
      <x:c r="S12" s="82" t="str">
        <x:v>新增≥20击0单暂停</x:v>
      </x:c>
      <x:c r="T12" s="82" t="str">
        <x:v>&lt;2×暂停；2–3.2× Bid-15%；3.2–4×维持；≥4×且≥3单/CVR≥2%才加Cap</x:v>
      </x:c>
      <x:c r="U12" s="83" t="str">
        <x:v>广告运营</x:v>
      </x:c>
    </x:row>
    <x:row r="13">
      <x:c r="A13" s="81" t="str">
        <x:v>P1</x:v>
      </x:c>
      <x:c r="B13" s="82" t="str">
        <x:v>DMOM1003</x:v>
      </x:c>
      <x:c r="C13" s="82" t="str">
        <x:v>4T-Kayak</x:v>
      </x:c>
      <x:c r="D13" s="82" t="str">
        <x:v>Product US</x:v>
      </x:c>
      <x:c r="E13" s="82" t="str">
        <x:v>调整</x:v>
      </x:c>
      <x:c r="F13" s="82" t="str">
        <x:v>635903</x:v>
      </x:c>
      <x:c r="G13" s="82" t="str">
        <x:v>HIGH_POTENTIAL_SKU-Wayfair(US)-0507</x:v>
      </x:c>
      <x:c r="H13" s="82" t="str">
        <x:v>ACTIVE</x:v>
      </x:c>
      <x:c r="I13" s="82" t="str">
        <x:v>Manual</x:v>
      </x:c>
      <x:c r="J13" s="88" t="n">
        <x:v>0.75</x:v>
      </x:c>
      <x:c r="K13" s="88" t="n">
        <x:v>0.8671</x:v>
      </x:c>
      <x:c r="L13" s="88" t="n">
        <x:v>0.57</x:v>
      </x:c>
      <x:c r="M13" s="88" t="n">
        <x:v>0.55</x:v>
      </x:c>
      <x:c r="N13" s="88" t="n">
        <x:v>0.6</x:v>
      </x:c>
      <x:c r="O13" s="88" t="n">
        <x:v>90</x:v>
      </x:c>
      <x:c r="P13" s="88" t="n">
        <x:v>2.9</x:v>
      </x:c>
      <x:c r="Q13" s="82" t="str">
        <x:v>+0%</x:v>
      </x:c>
      <x:c r="R13" s="82" t="str">
        <x:v>4T-Kayak Live；库存节点归属确认；Backorder即停</x:v>
      </x:c>
      <x:c r="S13" s="82" t="str">
        <x:v>新增≥20击0单暂停</x:v>
      </x:c>
      <x:c r="T13" s="82" t="str">
        <x:v>&lt;2×暂停；2–3.2× Bid-15%；3.2–4×维持；≥4×且≥3单/CVR≥2%才加Cap</x:v>
      </x:c>
      <x:c r="U13" s="83" t="str">
        <x:v>广告运营</x:v>
      </x:c>
    </x:row>
    <x:row r="14">
      <x:c r="A14" s="81" t="str">
        <x:v>P2</x:v>
      </x:c>
      <x:c r="B14" s="82" t="str">
        <x:v>DMOM1018</x:v>
      </x:c>
      <x:c r="C14" s="82" t="str">
        <x:v>LFC-2B / LFC-2W</x:v>
      </x:c>
      <x:c r="D14" s="82" t="str">
        <x:v>Product修复测试</x:v>
      </x:c>
      <x:c r="E14" s="82" t="str">
        <x:v>修复后测试</x:v>
      </x:c>
      <x:c r="F14" s="82" t="str">
        <x:v>622734</x:v>
      </x:c>
      <x:c r="G14" s="82" t="str">
        <x:v>DMOM1018-LFC-2B-宽二</x:v>
      </x:c>
      <x:c r="H14" s="82" t="str">
        <x:v>ACTIVE</x:v>
      </x:c>
      <x:c r="I14" s="82" t="str">
        <x:v>Manual</x:v>
      </x:c>
      <x:c r="J14" s="88" t="n">
        <x:v>0.6</x:v>
      </x:c>
      <x:c r="K14" s="88" t="n">
        <x:v>0.87</x:v>
      </x:c>
      <x:c r="L14" s="88" t="n">
        <x:v>0.53</x:v>
      </x:c>
      <x:c r="M14" s="88" t="n">
        <x:v>0.3</x:v>
      </x:c>
      <x:c r="N14" s="88" t="n">
        <x:v>0.4</x:v>
      </x:c>
      <x:c r="O14" s="88" t="n">
        <x:v>30</x:v>
      </x:c>
      <x:c r="P14" s="88" t="n">
        <x:v>1</x:v>
      </x:c>
      <x:c r="Q14" s="82" t="str">
        <x:v>+0%</x:v>
      </x:c>
      <x:c r="R14" s="82" t="str">
        <x:v>主图/转化修复完成；未修复运营否决上线</x:v>
      </x:c>
      <x:c r="S14" s="82" t="str">
        <x:v>最多30天；新增≥20击0单暂停</x:v>
      </x:c>
      <x:c r="T14" s="82" t="str">
        <x:v>ROAS≥3.2×且CVR≥2%才保留</x:v>
      </x:c>
      <x:c r="U14" s="83" t="str">
        <x:v>广告运营+内容</x:v>
      </x:c>
    </x:row>
    <x:row r="15">
      <x:c r="A15" s="81" t="str">
        <x:v>P2</x:v>
      </x:c>
      <x:c r="B15" s="82" t="str">
        <x:v>DMOM1017</x:v>
      </x:c>
      <x:c r="C15" s="82" t="str">
        <x:v>3T-W / 3T-B</x:v>
      </x:c>
      <x:c r="D15" s="82" t="str">
        <x:v>Product限额</x:v>
      </x:c>
      <x:c r="E15" s="82" t="str">
        <x:v>限额测试</x:v>
      </x:c>
      <x:c r="F15" s="82" t="str">
        <x:v>622759</x:v>
      </x:c>
      <x:c r="G15" s="82" t="str">
        <x:v>3 Tier shelves-三层置物架</x:v>
      </x:c>
      <x:c r="H15" s="82" t="str">
        <x:v>ACTIVE</x:v>
      </x:c>
      <x:c r="I15" s="82" t="str">
        <x:v>Manual</x:v>
      </x:c>
      <x:c r="J15" s="88" t="n">
        <x:v>0.2</x:v>
      </x:c>
      <x:c r="K15" s="88" t="n">
        <x:v>0.242</x:v>
      </x:c>
      <x:c r="L15" s="88"/>
      <x:c r="M15" s="88" t="n">
        <x:v>0.18</x:v>
      </x:c>
      <x:c r="N15" s="88" t="n">
        <x:v>0.22</x:v>
      </x:c>
      <x:c r="O15" s="88" t="n">
        <x:v>10</x:v>
      </x:c>
      <x:c r="P15" s="88" t="n">
        <x:v>1</x:v>
      </x:c>
      <x:c r="Q15" s="82" t="str">
        <x:v>+0%</x:v>
      </x:c>
      <x:c r="R15" s="82" t="str">
        <x:v>评分4.0且仅1评；只允许10天测试</x:v>
      </x:c>
      <x:c r="S15" s="82" t="str">
        <x:v>10天或$10硬停；≥20击0单暂停</x:v>
      </x:c>
      <x:c r="T15" s="82" t="str">
        <x:v>评论/评分未改善不得扩量</x:v>
      </x:c>
      <x:c r="U15" s="83" t="str">
        <x:v>广告运营+评价</x:v>
      </x:c>
    </x:row>
    <x:row r="16">
      <x:c r="A16" s="81" t="str">
        <x:v>P2</x:v>
      </x:c>
      <x:c r="B16" s="82" t="str">
        <x:v>DMOM1000</x:v>
      </x:c>
      <x:c r="C16" s="82" t="str">
        <x:v>5T系列混合Listing</x:v>
      </x:c>
      <x:c r="D16" s="82" t="str">
        <x:v>Product修复测试</x:v>
      </x:c>
      <x:c r="E16" s="82" t="str">
        <x:v>保持暂停</x:v>
      </x:c>
      <x:c r="F16" s="82" t="str">
        <x:v>622741</x:v>
      </x:c>
      <x:c r="G16" s="82" t="str">
        <x:v>DMOM1000-中型货架</x:v>
      </x:c>
      <x:c r="H16" s="82" t="str">
        <x:v>ACTIVE</x:v>
      </x:c>
      <x:c r="I16" s="82" t="str">
        <x:v>Manual</x:v>
      </x:c>
      <x:c r="J16" s="88" t="n">
        <x:v>0.85</x:v>
      </x:c>
      <x:c r="K16" s="88" t="n">
        <x:v>1.1719</x:v>
      </x:c>
      <x:c r="L16" s="88"/>
      <x:c r="M16" s="88" t="n">
        <x:v>0.4</x:v>
      </x:c>
      <x:c r="N16" s="88" t="n">
        <x:v>0.5</x:v>
      </x:c>
      <x:c r="O16" s="88" t="n">
        <x:v>10</x:v>
      </x:c>
      <x:c r="P16" s="88" t="n">
        <x:v>1</x:v>
      </x:c>
      <x:c r="Q16" s="82" t="str">
        <x:v>+0%</x:v>
      </x:c>
      <x:c r="R16" s="82" t="str">
        <x:v>所有Part无Reviewing/Rejected且Live；否则运营否决</x:v>
      </x:c>
      <x:c r="S16" s="82" t="str">
        <x:v>10天或$10硬停；≥20击0单暂停</x:v>
      </x:c>
      <x:c r="T16" s="82" t="str">
        <x:v>ROAS≥3.2×且目录稳定才保留</x:v>
      </x:c>
      <x:c r="U16" s="83" t="str">
        <x:v>广告运营+目录</x:v>
      </x:c>
    </x:row>
    <x:row r="17">
      <x:c r="A17" s="84" t="str">
        <x:v>P0</x:v>
      </x:c>
      <x:c r="B17" s="85" t="str">
        <x:v>ACCOUNT</x:v>
      </x:c>
      <x:c r="C17" s="85" t="str">
        <x:v>—</x:v>
      </x:c>
      <x:c r="D17" s="85" t="str">
        <x:v>锁定机动预算</x:v>
      </x:c>
      <x:c r="E17" s="85" t="str">
        <x:v>不建Campaign</x:v>
      </x:c>
      <x:c r="F17" s="85" t="str"/>
      <x:c r="G17" s="85" t="str">
        <x:v>7日Gate机动池</x:v>
      </x:c>
      <x:c r="H17" s="85" t="str">
        <x:v>LOCKED</x:v>
      </x:c>
      <x:c r="I17" s="85" t="str">
        <x:v>—</x:v>
      </x:c>
      <x:c r="J17" s="89"/>
      <x:c r="K17" s="89"/>
      <x:c r="L17" s="89"/>
      <x:c r="M17" s="89"/>
      <x:c r="N17" s="89"/>
      <x:c r="O17" s="89" t="n">
        <x:v>230</x:v>
      </x:c>
      <x:c r="P17" s="89" t="n">
        <x:v>0</x:v>
      </x:c>
      <x:c r="Q17" s="85" t="str">
        <x:v>—</x:v>
      </x:c>
      <x:c r="R17" s="85" t="str">
        <x:v>Day1不进入任何Campaign</x:v>
      </x:c>
      <x:c r="S17" s="85" t="str">
        <x:v>仅按waterfall释放，不得救0单组</x:v>
      </x:c>
      <x:c r="T17" s="85" t="str">
        <x:v>总预算不得超过$1,800</x:v>
      </x:c>
      <x:c r="U17" s="86" t="str">
        <x:v>运营经理</x:v>
      </x:c>
    </x:row>
  </x:sheetData>
  <x:mergeCells>
    <x:mergeCell ref="A1:U1"/>
    <x:mergeCell ref="A2:U2"/>
  </x:mergeCells>
  <x:conditionalFormatting sqref="A5:A17">
    <x:cfRule type="containsText" dxfId="1" priority="1" operator="containsText" text="P0"/>
  </x:conditionalFormatting>
  <x:conditionalFormatting sqref="H5:H17">
    <x:cfRule type="containsText" dxfId="2" priority="2" operator="containsText" text="INACTIVE"/>
    <x:cfRule type="containsText" dxfId="3" priority="3" operator="containsText" text="LOCKED"/>
  </x:conditionalFormatting>
  <x:pageMargins left="0.7" right="0.7" top="0.75" bottom="0.75" header="0.3" footer="0.3"/>
  <x:tableParts count="1">
    <x:tablePart xmlns:r="http://schemas.openxmlformats.org/officeDocument/2006/relationships" r:id="R3633158d26f34d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32" hidden="0" customWidth="1"/>
    <x:col min="4" max="4" width="11" hidden="0" customWidth="1"/>
    <x:col min="5" max="5" width="11" hidden="0" customWidth="1"/>
    <x:col min="6" max="6" width="42" hidden="0" customWidth="1"/>
    <x:col min="7" max="7" width="14" hidden="0" customWidth="1"/>
  </x:cols>
  <x:sheetData>
    <x:row r="1" ht="34" customHeight="1">
      <x:c r="A1" s="87" t="str">
        <x:v>按SKU新建 Keyword 清单</x:v>
      </x:c>
      <x:c r="B1" s="69"/>
      <x:c r="C1" s="69"/>
      <x:c r="D1" s="69"/>
      <x:c r="E1" s="69"/>
      <x:c r="F1" s="69"/>
      <x:c r="G1" s="69"/>
    </x:row>
    <x:row r="2" ht="32" customHeight="1">
      <x:c r="A2" s="70" t="str">
        <x:v>SKU×关键词证据只取Keyword Targeting Report (Listing)；Keyword Optimization无Listing字段，不用于SKU归因。</x:v>
      </x:c>
      <x:c r="B2" s="69"/>
      <x:c r="C2" s="69"/>
      <x:c r="D2" s="69"/>
      <x:c r="E2" s="69"/>
      <x:c r="F2" s="69"/>
      <x:c r="G2" s="69"/>
    </x:row>
    <x:row r="3">
      <x:c r="A3" s="69"/>
      <x:c r="B3" s="69"/>
      <x:c r="C3" s="69"/>
      <x:c r="D3" s="69"/>
      <x:c r="E3" s="69"/>
      <x:c r="F3" s="69"/>
      <x:c r="G3" s="69"/>
    </x:row>
    <x:row r="4" ht="34" customHeight="1">
      <x:c r="A4" s="78" t="str">
        <x:v>SKU/Listing</x:v>
      </x:c>
      <x:c r="B4" s="79" t="str">
        <x:v>Match Type</x:v>
      </x:c>
      <x:c r="C4" s="79" t="str">
        <x:v>Keyword</x:v>
      </x:c>
      <x:c r="D4" s="79" t="str">
        <x:v>起始Bid</x:v>
      </x:c>
      <x:c r="E4" s="79" t="str">
        <x:v>Bid硬上限</x:v>
      </x:c>
      <x:c r="F4" s="79" t="str">
        <x:v>证据/相关性</x:v>
      </x:c>
      <x:c r="G4" s="80" t="str">
        <x:v>迁移类型</x:v>
      </x:c>
    </x:row>
    <x:row r="5">
      <x:c r="A5" s="81" t="str">
        <x:v>DMOM1021</x:v>
      </x:c>
      <x:c r="B5" s="82" t="str">
        <x:v>Smart Exact</x:v>
      </x:c>
      <x:c r="C5" s="82" t="str">
        <x:v>file cabinet</x:v>
      </x:c>
      <x:c r="D5" s="88" t="n">
        <x:v>0.38</x:v>
      </x:c>
      <x:c r="E5" s="88" t="n">
        <x:v>0.53</x:v>
      </x:c>
      <x:c r="F5" s="82" t="str">
        <x:v>现50击2单，WSC ROAS 9.59×；generic唯一归属</x:v>
      </x:c>
      <x:c r="G5" s="83" t="str">
        <x:v>赢家迁移</x:v>
      </x:c>
    </x:row>
    <x:row r="6">
      <x:c r="A6" s="81" t="str">
        <x:v>DMOM1021</x:v>
      </x:c>
      <x:c r="B6" s="82" t="str">
        <x:v>Smart Exact</x:v>
      </x:c>
      <x:c r="C6" s="82" t="str">
        <x:v>white filing cabinet</x:v>
      </x:c>
      <x:c r="D6" s="88" t="n">
        <x:v>0.45</x:v>
      </x:c>
      <x:c r="E6" s="88" t="n">
        <x:v>0.58</x:v>
      </x:c>
      <x:c r="F6" s="82" t="str">
        <x:v>现9击1单，ROAS 21.95×</x:v>
      </x:c>
      <x:c r="G6" s="83" t="str">
        <x:v>赢家迁移</x:v>
      </x:c>
    </x:row>
    <x:row r="7">
      <x:c r="A7" s="81" t="str">
        <x:v>DMOM1021</x:v>
      </x:c>
      <x:c r="B7" s="82" t="str">
        <x:v>Smart Exact</x:v>
      </x:c>
      <x:c r="C7" s="82" t="str">
        <x:v>white file cabinet</x:v>
      </x:c>
      <x:c r="D7" s="88" t="n">
        <x:v>0.42</x:v>
      </x:c>
      <x:c r="E7" s="88" t="n">
        <x:v>0.53</x:v>
      </x:c>
      <x:c r="F7" s="82" t="str">
        <x:v>颜色与品类高度相关</x:v>
      </x:c>
      <x:c r="G7" s="83" t="str">
        <x:v>新词测试</x:v>
      </x:c>
    </x:row>
    <x:row r="8">
      <x:c r="A8" s="81" t="str">
        <x:v>DMOM1021</x:v>
      </x:c>
      <x:c r="B8" s="82" t="str">
        <x:v>Smart Exact</x:v>
      </x:c>
      <x:c r="C8" s="82" t="str">
        <x:v>locking filing cabinet</x:v>
      </x:c>
      <x:c r="D8" s="88" t="n">
        <x:v>0.42</x:v>
      </x:c>
      <x:c r="E8" s="88" t="n">
        <x:v>0.53</x:v>
      </x:c>
      <x:c r="F8" s="82" t="str">
        <x:v>产品带锁，高度相关</x:v>
      </x:c>
      <x:c r="G8" s="83" t="str">
        <x:v>新词测试</x:v>
      </x:c>
    </x:row>
    <x:row r="9">
      <x:c r="A9" s="81" t="str">
        <x:v>DMOM1021</x:v>
      </x:c>
      <x:c r="B9" s="82" t="str">
        <x:v>Smart Exact</x:v>
      </x:c>
      <x:c r="C9" s="82" t="str">
        <x:v>black file cabinet</x:v>
      </x:c>
      <x:c r="D9" s="88" t="n">
        <x:v>0.32</x:v>
      </x:c>
      <x:c r="E9" s="88" t="n">
        <x:v>0.42</x:v>
      </x:c>
      <x:c r="F9" s="82" t="str">
        <x:v>现6击0单；低Bid验证</x:v>
      </x:c>
      <x:c r="G9" s="83" t="str">
        <x:v>降价迁移</x:v>
      </x:c>
    </x:row>
    <x:row r="10">
      <x:c r="A10" s="81" t="str">
        <x:v>DMOM1021</x:v>
      </x:c>
      <x:c r="B10" s="82" t="str">
        <x:v>Smart Phrase</x:v>
      </x:c>
      <x:c r="C10" s="82" t="str">
        <x:v>lateral file cabinet</x:v>
      </x:c>
      <x:c r="D10" s="88" t="n">
        <x:v>0.35</x:v>
      </x:c>
      <x:c r="E10" s="88" t="n">
        <x:v>0.5</x:v>
      </x:c>
      <x:c r="F10" s="82" t="str">
        <x:v>只保留产品特征Phrase</x:v>
      </x:c>
      <x:c r="G10" s="83" t="str">
        <x:v>限额扩词</x:v>
      </x:c>
    </x:row>
    <x:row r="11">
      <x:c r="A11" s="81" t="str">
        <x:v>DMOM1021</x:v>
      </x:c>
      <x:c r="B11" s="82" t="str">
        <x:v>Smart Phrase</x:v>
      </x:c>
      <x:c r="C11" s="82" t="str">
        <x:v>2 drawer lateral file cabinet</x:v>
      </x:c>
      <x:c r="D11" s="88" t="n">
        <x:v>0.32</x:v>
      </x:c>
      <x:c r="E11" s="88" t="n">
        <x:v>0.45</x:v>
      </x:c>
      <x:c r="F11" s="82" t="str">
        <x:v>只保留产品特征Phrase</x:v>
      </x:c>
      <x:c r="G11" s="83" t="str">
        <x:v>限额扩词</x:v>
      </x:c>
    </x:row>
    <x:row r="12">
      <x:c r="A12" s="81" t="str">
        <x:v>DMOM1021</x:v>
      </x:c>
      <x:c r="B12" s="82" t="str">
        <x:v>NEGATIVE EXACT</x:v>
      </x:c>
      <x:c r="C12" s="82" t="str">
        <x:v>filing cabinets</x:v>
      </x:c>
      <x:c r="D12" s="88"/>
      <x:c r="E12" s="88"/>
      <x:c r="F12" s="82" t="str">
        <x:v>防止抢DMOM1019 generic</x:v>
      </x:c>
      <x:c r="G12" s="83" t="str">
        <x:v>必加否词</x:v>
      </x:c>
    </x:row>
    <x:row r="13">
      <x:c r="A13" s="81" t="str">
        <x:v>DMOM1021</x:v>
      </x:c>
      <x:c r="B13" s="82" t="str">
        <x:v>NEGATIVE EXACT</x:v>
      </x:c>
      <x:c r="C13" s="82" t="str">
        <x:v>filing cabinet</x:v>
      </x:c>
      <x:c r="D13" s="88"/>
      <x:c r="E13" s="88"/>
      <x:c r="F13" s="82" t="str">
        <x:v>账户30击0单；全SKU停投</x:v>
      </x:c>
      <x:c r="G13" s="83" t="str">
        <x:v>必加否词</x:v>
      </x:c>
    </x:row>
    <x:row r="14">
      <x:c r="A14" s="81" t="str">
        <x:v>DMOM1019</x:v>
      </x:c>
      <x:c r="B14" s="82" t="str">
        <x:v>Smart Exact</x:v>
      </x:c>
      <x:c r="C14" s="82" t="str">
        <x:v>filing cabinets</x:v>
      </x:c>
      <x:c r="D14" s="88" t="n">
        <x:v>0.22</x:v>
      </x:c>
      <x:c r="E14" s="88" t="n">
        <x:v>0.4</x:v>
      </x:c>
      <x:c r="F14" s="82" t="str">
        <x:v>现64击3单，WSC ROAS 4.71×；generic唯一归属</x:v>
      </x:c>
      <x:c r="G14" s="83" t="str">
        <x:v>赢家迁移</x:v>
      </x:c>
    </x:row>
    <x:row r="15">
      <x:c r="A15" s="81" t="str">
        <x:v>DMOM1019</x:v>
      </x:c>
      <x:c r="B15" s="82" t="str">
        <x:v>Smart Exact</x:v>
      </x:c>
      <x:c r="C15" s="82" t="str">
        <x:v>vertical 3 drawer filing cabinet</x:v>
      </x:c>
      <x:c r="D15" s="88" t="n">
        <x:v>0.45</x:v>
      </x:c>
      <x:c r="E15" s="88" t="n">
        <x:v>0.58</x:v>
      </x:c>
      <x:c r="F15" s="82" t="str">
        <x:v>窄三抽结构高度相关</x:v>
      </x:c>
      <x:c r="G15" s="83" t="str">
        <x:v>新词测试</x:v>
      </x:c>
    </x:row>
    <x:row r="16">
      <x:c r="A16" s="81" t="str">
        <x:v>DMOM1019</x:v>
      </x:c>
      <x:c r="B16" s="82" t="str">
        <x:v>Smart Exact</x:v>
      </x:c>
      <x:c r="C16" s="82" t="str">
        <x:v>tall file cabinet with drawers</x:v>
      </x:c>
      <x:c r="D16" s="88" t="n">
        <x:v>0.4</x:v>
      </x:c>
      <x:c r="E16" s="88" t="n">
        <x:v>0.53</x:v>
      </x:c>
      <x:c r="F16" s="82" t="str">
        <x:v>窄高结构相关</x:v>
      </x:c>
      <x:c r="G16" s="83" t="str">
        <x:v>新词测试</x:v>
      </x:c>
    </x:row>
    <x:row r="17">
      <x:c r="A17" s="81" t="str">
        <x:v>DMOM1019</x:v>
      </x:c>
      <x:c r="B17" s="82" t="str">
        <x:v>Smart Exact</x:v>
      </x:c>
      <x:c r="C17" s="82" t="str">
        <x:v>27 inch file cabinet</x:v>
      </x:c>
      <x:c r="D17" s="88" t="n">
        <x:v>0.4</x:v>
      </x:c>
      <x:c r="E17" s="88" t="n">
        <x:v>0.53</x:v>
      </x:c>
      <x:c r="F17" s="82" t="str">
        <x:v>需Day0核对实际尺寸</x:v>
      </x:c>
      <x:c r="G17" s="83" t="str">
        <x:v>条件测试</x:v>
      </x:c>
    </x:row>
    <x:row r="18">
      <x:c r="A18" s="81" t="str">
        <x:v>DMOM1019</x:v>
      </x:c>
      <x:c r="B18" s="82" t="str">
        <x:v>Smart Exact</x:v>
      </x:c>
      <x:c r="C18" s="82" t="str">
        <x:v>locking filing cabinet</x:v>
      </x:c>
      <x:c r="D18" s="88" t="n">
        <x:v>0.42</x:v>
      </x:c>
      <x:c r="E18" s="88" t="n">
        <x:v>0.53</x:v>
      </x:c>
      <x:c r="F18" s="82" t="str">
        <x:v>产品带锁</x:v>
      </x:c>
      <x:c r="G18" s="83" t="str">
        <x:v>新词测试</x:v>
      </x:c>
    </x:row>
    <x:row r="19">
      <x:c r="A19" s="81" t="str">
        <x:v>DMOM1019</x:v>
      </x:c>
      <x:c r="B19" s="82" t="str">
        <x:v>Smart Phrase</x:v>
      </x:c>
      <x:c r="C19" s="82" t="str">
        <x:v>vertical file cabinet</x:v>
      </x:c>
      <x:c r="D19" s="88" t="n">
        <x:v>0.35</x:v>
      </x:c>
      <x:c r="E19" s="88" t="n">
        <x:v>0.48</x:v>
      </x:c>
      <x:c r="F19" s="82" t="str">
        <x:v>只保留产品特征Phrase</x:v>
      </x:c>
      <x:c r="G19" s="83" t="str">
        <x:v>限额扩词</x:v>
      </x:c>
    </x:row>
    <x:row r="20">
      <x:c r="A20" s="81" t="str">
        <x:v>DMOM1019</x:v>
      </x:c>
      <x:c r="B20" s="82" t="str">
        <x:v>Smart Phrase</x:v>
      </x:c>
      <x:c r="C20" s="82" t="str">
        <x:v>3 drawer vertical file cabinet</x:v>
      </x:c>
      <x:c r="D20" s="88" t="n">
        <x:v>0.3</x:v>
      </x:c>
      <x:c r="E20" s="88" t="n">
        <x:v>0.42</x:v>
      </x:c>
      <x:c r="F20" s="82" t="str">
        <x:v>只保留产品特征Phrase</x:v>
      </x:c>
      <x:c r="G20" s="83" t="str">
        <x:v>限额扩词</x:v>
      </x:c>
    </x:row>
    <x:row r="21">
      <x:c r="A21" s="81" t="str">
        <x:v>DMOM1019</x:v>
      </x:c>
      <x:c r="B21" s="82" t="str">
        <x:v>NEGATIVE EXACT</x:v>
      </x:c>
      <x:c r="C21" s="82" t="str">
        <x:v>file cabinet</x:v>
      </x:c>
      <x:c r="D21" s="88"/>
      <x:c r="E21" s="88"/>
      <x:c r="F21" s="82" t="str">
        <x:v>防止抢DMOM1021 generic</x:v>
      </x:c>
      <x:c r="G21" s="83" t="str">
        <x:v>必加否词</x:v>
      </x:c>
    </x:row>
    <x:row r="22">
      <x:c r="A22" s="81" t="str">
        <x:v>DMOM1019</x:v>
      </x:c>
      <x:c r="B22" s="82" t="str">
        <x:v>NEGATIVE EXACT</x:v>
      </x:c>
      <x:c r="C22" s="82" t="str">
        <x:v>filing cabinet</x:v>
      </x:c>
      <x:c r="D22" s="88"/>
      <x:c r="E22" s="88"/>
      <x:c r="F22" s="82" t="str">
        <x:v>账户30击0单；全SKU停投</x:v>
      </x:c>
      <x:c r="G22" s="83" t="str">
        <x:v>必加否词</x:v>
      </x:c>
    </x:row>
    <x:row r="23">
      <x:c r="A23" s="81" t="str">
        <x:v>DMOM1022</x:v>
      </x:c>
      <x:c r="B23" s="82" t="str">
        <x:v>Smart Exact</x:v>
      </x:c>
      <x:c r="C23" s="82" t="str">
        <x:v>3 drawer mobile file cabinet</x:v>
      </x:c>
      <x:c r="D23" s="88" t="n">
        <x:v>0.42</x:v>
      </x:c>
      <x:c r="E23" s="88" t="n">
        <x:v>0.53</x:v>
      </x:c>
      <x:c r="F23" s="82" t="str">
        <x:v>三抽移动柜高度相关</x:v>
      </x:c>
      <x:c r="G23" s="83" t="str">
        <x:v>新词测试</x:v>
      </x:c>
    </x:row>
    <x:row r="24">
      <x:c r="A24" s="81" t="str">
        <x:v>DMOM1022</x:v>
      </x:c>
      <x:c r="B24" s="82" t="str">
        <x:v>Smart Exact</x:v>
      </x:c>
      <x:c r="C24" s="82" t="str">
        <x:v>mobile file cabinet</x:v>
      </x:c>
      <x:c r="D24" s="88" t="n">
        <x:v>0.4</x:v>
      </x:c>
      <x:c r="E24" s="88" t="n">
        <x:v>0.53</x:v>
      </x:c>
      <x:c r="F24" s="82" t="str">
        <x:v>移动柜高度相关</x:v>
      </x:c>
      <x:c r="G24" s="83" t="str">
        <x:v>新词测试</x:v>
      </x:c>
    </x:row>
    <x:row r="25">
      <x:c r="A25" s="81" t="str">
        <x:v>DMOM1022</x:v>
      </x:c>
      <x:c r="B25" s="82" t="str">
        <x:v>Smart Exact</x:v>
      </x:c>
      <x:c r="C25" s="82" t="str">
        <x:v>rolling file cabinet</x:v>
      </x:c>
      <x:c r="D25" s="88" t="n">
        <x:v>0.38</x:v>
      </x:c>
      <x:c r="E25" s="88" t="n">
        <x:v>0.48</x:v>
      </x:c>
      <x:c r="F25" s="82" t="str">
        <x:v>带轮移动场景</x:v>
      </x:c>
      <x:c r="G25" s="83" t="str">
        <x:v>新词测试</x:v>
      </x:c>
    </x:row>
    <x:row r="26">
      <x:c r="A26" s="81" t="str">
        <x:v>DMOM1022</x:v>
      </x:c>
      <x:c r="B26" s="82" t="str">
        <x:v>Smart Exact</x:v>
      </x:c>
      <x:c r="C26" s="82" t="str">
        <x:v>white mobile file cabinet</x:v>
      </x:c>
      <x:c r="D26" s="88" t="n">
        <x:v>0.38</x:v>
      </x:c>
      <x:c r="E26" s="88" t="n">
        <x:v>0.48</x:v>
      </x:c>
      <x:c r="F26" s="82" t="str">
        <x:v>颜色+结构相关</x:v>
      </x:c>
      <x:c r="G26" s="83" t="str">
        <x:v>新词测试</x:v>
      </x:c>
    </x:row>
    <x:row r="27">
      <x:c r="A27" s="81" t="str">
        <x:v>DMOM1022</x:v>
      </x:c>
      <x:c r="B27" s="82" t="str">
        <x:v>Smart Phrase</x:v>
      </x:c>
      <x:c r="C27" s="82" t="str">
        <x:v>mobile file cabinet</x:v>
      </x:c>
      <x:c r="D27" s="88" t="n">
        <x:v>0.3</x:v>
      </x:c>
      <x:c r="E27" s="88" t="n">
        <x:v>0.45</x:v>
      </x:c>
      <x:c r="F27" s="82" t="str">
        <x:v>只保留产品特征Phrase</x:v>
      </x:c>
      <x:c r="G27" s="83" t="str">
        <x:v>限额扩词</x:v>
      </x:c>
    </x:row>
    <x:row r="28">
      <x:c r="A28" s="81" t="str">
        <x:v>DMOM1022</x:v>
      </x:c>
      <x:c r="B28" s="82" t="str">
        <x:v>Smart Phrase</x:v>
      </x:c>
      <x:c r="C28" s="82" t="str">
        <x:v>rolling file cabinet</x:v>
      </x:c>
      <x:c r="D28" s="88" t="n">
        <x:v>0.28</x:v>
      </x:c>
      <x:c r="E28" s="88" t="n">
        <x:v>0.42</x:v>
      </x:c>
      <x:c r="F28" s="82" t="str">
        <x:v>只保留产品特征Phrase</x:v>
      </x:c>
      <x:c r="G28" s="83" t="str">
        <x:v>限额扩词</x:v>
      </x:c>
    </x:row>
    <x:row r="29">
      <x:c r="A29" s="81" t="str">
        <x:v>DMOM1022</x:v>
      </x:c>
      <x:c r="B29" s="82" t="str">
        <x:v>NEGATIVE EXACT</x:v>
      </x:c>
      <x:c r="C29" s="82" t="str">
        <x:v>file cabinet</x:v>
      </x:c>
      <x:c r="D29" s="88"/>
      <x:c r="E29" s="88"/>
      <x:c r="F29" s="82" t="str">
        <x:v>前14天不参与generic</x:v>
      </x:c>
      <x:c r="G29" s="83" t="str">
        <x:v>必加否词</x:v>
      </x:c>
    </x:row>
    <x:row r="30">
      <x:c r="A30" s="81" t="str">
        <x:v>DMOM1022</x:v>
      </x:c>
      <x:c r="B30" s="82" t="str">
        <x:v>NEGATIVE EXACT</x:v>
      </x:c>
      <x:c r="C30" s="82" t="str">
        <x:v>filing cabinets</x:v>
      </x:c>
      <x:c r="D30" s="88"/>
      <x:c r="E30" s="88"/>
      <x:c r="F30" s="82" t="str">
        <x:v>前14天不参与generic</x:v>
      </x:c>
      <x:c r="G30" s="83" t="str">
        <x:v>必加否词</x:v>
      </x:c>
    </x:row>
    <x:row r="31">
      <x:c r="A31" s="81" t="str">
        <x:v>DMOM1022</x:v>
      </x:c>
      <x:c r="B31" s="82" t="str">
        <x:v>NEGATIVE EXACT</x:v>
      </x:c>
      <x:c r="C31" s="82" t="str">
        <x:v>filing cabinet</x:v>
      </x:c>
      <x:c r="D31" s="88"/>
      <x:c r="E31" s="88"/>
      <x:c r="F31" s="82" t="str">
        <x:v>账户30击0单；全SKU停投</x:v>
      </x:c>
      <x:c r="G31" s="83" t="str">
        <x:v>必加否词</x:v>
      </x:c>
    </x:row>
    <x:row r="32">
      <x:c r="A32" s="81" t="str">
        <x:v>DMOM1003</x:v>
      </x:c>
      <x:c r="B32" s="82" t="str">
        <x:v>Smart Exact</x:v>
      </x:c>
      <x:c r="C32" s="82" t="str">
        <x:v>4 tier kayak rack</x:v>
      </x:c>
      <x:c r="D32" s="88" t="n">
        <x:v>0.5</x:v>
      </x:c>
      <x:c r="E32" s="88" t="n">
        <x:v>0.6</x:v>
      </x:c>
      <x:c r="F32" s="82" t="str">
        <x:v>结构高度相关；无历史广告证据</x:v>
      </x:c>
      <x:c r="G32" s="83" t="str">
        <x:v>新词验证</x:v>
      </x:c>
    </x:row>
    <x:row r="33">
      <x:c r="A33" s="81" t="str">
        <x:v>DMOM1003</x:v>
      </x:c>
      <x:c r="B33" s="82" t="str">
        <x:v>Smart Exact</x:v>
      </x:c>
      <x:c r="C33" s="82" t="str">
        <x:v>kayak storage rack</x:v>
      </x:c>
      <x:c r="D33" s="88" t="n">
        <x:v>0.45</x:v>
      </x:c>
      <x:c r="E33" s="88" t="n">
        <x:v>0.57</x:v>
      </x:c>
      <x:c r="F33" s="82" t="str">
        <x:v>用途高度相关；无历史广告证据</x:v>
      </x:c>
      <x:c r="G33" s="83" t="str">
        <x:v>新词验证</x:v>
      </x:c>
    </x:row>
    <x:row r="34">
      <x:c r="A34" s="81" t="str">
        <x:v>DMOM1003</x:v>
      </x:c>
      <x:c r="B34" s="82" t="str">
        <x:v>Smart Exact</x:v>
      </x:c>
      <x:c r="C34" s="82" t="str">
        <x:v>canoe storage rack</x:v>
      </x:c>
      <x:c r="D34" s="88" t="n">
        <x:v>0.4</x:v>
      </x:c>
      <x:c r="E34" s="88" t="n">
        <x:v>0.53</x:v>
      </x:c>
      <x:c r="F34" s="82" t="str">
        <x:v>邻近用途；先核对承载适配</x:v>
      </x:c>
      <x:c r="G34" s="83" t="str">
        <x:v>条件测试</x:v>
      </x:c>
    </x:row>
    <x:row r="35">
      <x:c r="A35" s="81" t="str">
        <x:v>DMOM1003</x:v>
      </x:c>
      <x:c r="B35" s="82" t="str">
        <x:v>Smart Exact</x:v>
      </x:c>
      <x:c r="C35" s="82" t="str">
        <x:v>freestanding kayak rack</x:v>
      </x:c>
      <x:c r="D35" s="88" t="n">
        <x:v>0.42</x:v>
      </x:c>
      <x:c r="E35" s="88" t="n">
        <x:v>0.57</x:v>
      </x:c>
      <x:c r="F35" s="82" t="str">
        <x:v>结构相关</x:v>
      </x:c>
      <x:c r="G35" s="83" t="str">
        <x:v>新词验证</x:v>
      </x:c>
    </x:row>
    <x:row r="36">
      <x:c r="A36" s="81" t="str">
        <x:v>DMOM1003</x:v>
      </x:c>
      <x:c r="B36" s="82" t="str">
        <x:v>Smart Exact</x:v>
      </x:c>
      <x:c r="C36" s="82" t="str">
        <x:v>outdoor kayak rack</x:v>
      </x:c>
      <x:c r="D36" s="88" t="n">
        <x:v>0.38</x:v>
      </x:c>
      <x:c r="E36" s="88" t="n">
        <x:v>0.5</x:v>
      </x:c>
      <x:c r="F36" s="82" t="str">
        <x:v>使用场景相关</x:v>
      </x:c>
      <x:c r="G36" s="83" t="str">
        <x:v>新词验证</x:v>
      </x:c>
    </x:row>
    <x:row r="37">
      <x:c r="A37" s="81" t="str">
        <x:v>DMOM1003</x:v>
      </x:c>
      <x:c r="B37" s="82" t="str">
        <x:v>Smart Phrase</x:v>
      </x:c>
      <x:c r="C37" s="82" t="str">
        <x:v>kayak storage rack</x:v>
      </x:c>
      <x:c r="D37" s="88" t="n">
        <x:v>0.32</x:v>
      </x:c>
      <x:c r="E37" s="88" t="n">
        <x:v>0.45</x:v>
      </x:c>
      <x:c r="F37" s="82" t="str">
        <x:v>产品特征Phrase</x:v>
      </x:c>
      <x:c r="G37" s="83" t="str">
        <x:v>限额扩词</x:v>
      </x:c>
    </x:row>
    <x:row r="38">
      <x:c r="A38" s="84" t="str">
        <x:v>DMOM1003</x:v>
      </x:c>
      <x:c r="B38" s="85" t="str">
        <x:v>Smart Phrase</x:v>
      </x:c>
      <x:c r="C38" s="85" t="str">
        <x:v>4 tier kayak rack</x:v>
      </x:c>
      <x:c r="D38" s="89" t="n">
        <x:v>0.35</x:v>
      </x:c>
      <x:c r="E38" s="89" t="n">
        <x:v>0.48</x:v>
      </x:c>
      <x:c r="F38" s="85" t="str">
        <x:v>产品特征Phrase</x:v>
      </x:c>
      <x:c r="G38" s="86" t="str">
        <x:v>限额扩词</x:v>
      </x:c>
    </x:row>
  </x:sheetData>
  <x:mergeCells>
    <x:mergeCell ref="A1:G1"/>
    <x:mergeCell ref="A2:G2"/>
  </x:mergeCells>
  <x:conditionalFormatting sqref="G5:G38">
    <x:cfRule type="containsText" dxfId="4" priority="1" operator="containsText" text="新词"/>
  </x:conditionalFormatting>
  <x:dataValidations count="1">
    <x:dataValidation type="list" sqref="B5:B38">
      <x:formula1>"Smart Exact,Smart Phrase,NEGATIVE EXACT"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a6129b52ec420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45" hidden="0" customWidth="1"/>
    <x:col min="5" max="5" width="48" hidden="0" customWidth="1"/>
  </x:cols>
  <x:sheetData>
    <x:row r="1" ht="34" customHeight="1">
      <x:c r="A1" s="87" t="str">
        <x:v>暂停 / 剔除 / 不新增预算清单</x:v>
      </x:c>
      <x:c r="B1" s="69"/>
      <x:c r="C1" s="69"/>
      <x:c r="D1" s="69"/>
      <x:c r="E1" s="69"/>
    </x:row>
    <x:row r="2" ht="32" customHeight="1">
      <x:c r="A2" s="70" t="str">
        <x:v>降Bid不能替代修Listing、评分、目录或合并状态。</x:v>
      </x:c>
      <x:c r="B2" s="69"/>
      <x:c r="C2" s="69"/>
      <x:c r="D2" s="69"/>
      <x:c r="E2" s="69"/>
    </x:row>
    <x:row r="3">
      <x:c r="A3" s="69"/>
      <x:c r="B3" s="69"/>
      <x:c r="C3" s="69"/>
      <x:c r="D3" s="69"/>
      <x:c r="E3" s="69"/>
    </x:row>
    <x:row r="4" ht="34" customHeight="1">
      <x:c r="A4" s="78" t="str">
        <x:v>SKU/Listing</x:v>
      </x:c>
      <x:c r="B4" s="79" t="str">
        <x:v>Campaign ID</x:v>
      </x:c>
      <x:c r="C4" s="79" t="str">
        <x:v>动作</x:v>
      </x:c>
      <x:c r="D4" s="79" t="str">
        <x:v>证据</x:v>
      </x:c>
      <x:c r="E4" s="80" t="str">
        <x:v>后台执行</x:v>
      </x:c>
    </x:row>
    <x:row r="5">
      <x:c r="A5" s="81" t="str">
        <x:v>DRCI1007</x:v>
      </x:c>
      <x:c r="B5" s="82" t="str">
        <x:v>622723 + 597350</x:v>
      </x:c>
      <x:c r="C5" s="82" t="str">
        <x:v>永久剔除</x:v>
      </x:c>
      <x:c r="D5" s="82" t="str">
        <x:v>Wayfair已合并，无法再获新单</x:v>
      </x:c>
      <x:c r="E5" s="83" t="str">
        <x:v>从Product、Keyword、Offer删除；7天花费/点击/订单=0</x:v>
      </x:c>
    </x:row>
    <x:row r="6">
      <x:c r="A6" s="81" t="str">
        <x:v>DMOM1002</x:v>
      </x:c>
      <x:c r="B6" s="82" t="str">
        <x:v>660198</x:v>
      </x:c>
      <x:c r="C6" s="82" t="str">
        <x:v>暂停</x:v>
      </x:c>
      <x:c r="D6" s="82" t="str">
        <x:v>AI-TROAS 300%，21击0单，CPC $2.20</x:v>
      </x:c>
      <x:c r="E6" s="83" t="str">
        <x:v>只能暂停/调tROAS/移除Listing，不写单品Bid</x:v>
      </x:c>
    </x:row>
    <x:row r="7">
      <x:c r="A7" s="81" t="str">
        <x:v>DMOM1025</x:v>
      </x:c>
      <x:c r="B7" s="82" t="str">
        <x:v>622727</x:v>
      </x:c>
      <x:c r="C7" s="82" t="str">
        <x:v>暂停</x:v>
      </x:c>
      <x:c r="D7" s="82" t="str">
        <x:v>68击0单，花费$45.25</x:v>
      </x:c>
      <x:c r="E7" s="83" t="str">
        <x:v>修评分/承接后重新立项</x:v>
      </x:c>
    </x:row>
    <x:row r="8">
      <x:c r="A8" s="81" t="str">
        <x:v>DMOM1042</x:v>
      </x:c>
      <x:c r="B8" s="82" t="str">
        <x:v>627474</x:v>
      </x:c>
      <x:c r="C8" s="82" t="str">
        <x:v>暂停</x:v>
      </x:c>
      <x:c r="D8" s="82" t="str">
        <x:v>62击0单；Pantry BM CPC $0.34，实际CPC $0.43</x:v>
      </x:c>
      <x:c r="E8" s="83" t="str">
        <x:v>先修Listing，不以降Bid代替修复</x:v>
      </x:c>
    </x:row>
    <x:row r="9">
      <x:c r="A9" s="81" t="str">
        <x:v>DMOM1029</x:v>
      </x:c>
      <x:c r="B9" s="82" t="str">
        <x:v>622731</x:v>
      </x:c>
      <x:c r="C9" s="82" t="str">
        <x:v>停止新增预算</x:v>
      </x:c>
      <x:c r="D9" s="82" t="str">
        <x:v>评分3.33；145击2单，ROAS 2.71×</x:v>
      </x:c>
      <x:c r="E9" s="83" t="str">
        <x:v>质量整改完成前预算=0</x:v>
      </x:c>
    </x:row>
    <x:row r="10">
      <x:c r="A10" s="81" t="str">
        <x:v>DMOM1023</x:v>
      </x:c>
      <x:c r="B10" s="82" t="str">
        <x:v>622739</x:v>
      </x:c>
      <x:c r="C10" s="82" t="str">
        <x:v>保持Inactive</x:v>
      </x:c>
      <x:c r="D10" s="82" t="str">
        <x:v>16击0单</x:v>
      </x:c>
      <x:c r="E10" s="83" t="str">
        <x:v>不恢复</x:v>
      </x:c>
    </x:row>
    <x:row r="11">
      <x:c r="A11" s="81" t="str">
        <x:v>DMOM1027</x:v>
      </x:c>
      <x:c r="B11" s="82" t="str">
        <x:v>622729</x:v>
      </x:c>
      <x:c r="C11" s="82" t="str">
        <x:v>保持Inactive</x:v>
      </x:c>
      <x:c r="D11" s="82" t="str">
        <x:v>评分/样本不足</x:v>
      </x:c>
      <x:c r="E11" s="83" t="str">
        <x:v>重新立项前不恢复</x:v>
      </x:c>
    </x:row>
    <x:row r="12">
      <x:c r="A12" s="81" t="str">
        <x:v>DMOM1016</x:v>
      </x:c>
      <x:c r="B12" s="82" t="str">
        <x:v>622803</x:v>
      </x:c>
      <x:c r="C12" s="82" t="str">
        <x:v>保持Inactive</x:v>
      </x:c>
      <x:c r="D12" s="82" t="str">
        <x:v>2击0单；无BM</x:v>
      </x:c>
      <x:c r="E12" s="83" t="str">
        <x:v>自然恢复池，不投广告</x:v>
      </x:c>
    </x:row>
    <x:row r="13">
      <x:c r="A13" s="84" t="str">
        <x:v>Canada其他组</x:v>
      </x:c>
      <x:c r="B13" s="85" t="str">
        <x:v>除622722外</x:v>
      </x:c>
      <x:c r="C13" s="85" t="str">
        <x:v>暂停</x:v>
      </x:c>
      <x:c r="D13" s="85" t="str">
        <x:v>CA 3 Tier等达到80击0单</x:v>
      </x:c>
      <x:c r="E13" s="86" t="str">
        <x:v>只保留DMOM1022 Canada限额$50</x:v>
      </x:c>
    </x:row>
  </x:sheetData>
  <x:mergeCells>
    <x:mergeCell ref="A1:E1"/>
    <x:mergeCell ref="A2:E2"/>
  </x:mergeCells>
  <x:conditionalFormatting sqref="C5:C30">
    <x:cfRule type="containsText" dxfId="5" priority="1" operator="containsText" text="永久"/>
  </x:conditionalFormatting>
  <x:pageMargins left="0.7" right="0.7" top="0.75" bottom="0.75" header="0.3" footer="0.3"/>
  <x:tableParts count="1">
    <x:tablePart xmlns:r="http://schemas.openxmlformats.org/officeDocument/2006/relationships" r:id="Rb799ac2c79ef4c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34" hidden="0" customWidth="1"/>
    <x:col min="4" max="4" width="11" hidden="0" customWidth="1"/>
    <x:col min="5" max="5" width="11" hidden="0" customWidth="1"/>
    <x:col min="6" max="6" width="14" hidden="0" customWidth="1"/>
    <x:col min="7" max="7" width="12" hidden="0" customWidth="1"/>
    <x:col min="8" max="8" width="10" hidden="0" customWidth="1"/>
    <x:col min="9" max="9" width="44" hidden="0" customWidth="1"/>
    <x:col min="10" max="10" width="14" hidden="0" customWidth="1"/>
  </x:cols>
  <x:sheetData>
    <x:row r="1" ht="34" customHeight="1">
      <x:c r="A1" s="87" t="str">
        <x:v>$1,800 Campaign预算台账</x:v>
      </x:c>
      <x:c r="B1" s="69"/>
      <x:c r="C1" s="69"/>
      <x:c r="D1" s="69"/>
      <x:c r="E1" s="69"/>
      <x:c r="F1" s="69"/>
      <x:c r="G1" s="69"/>
      <x:c r="H1" s="69"/>
      <x:c r="I1" s="69"/>
      <x:c r="J1" s="69"/>
    </x:row>
    <x:row r="2" ht="32" customHeight="1">
      <x:c r="A2" s="70" t="str">
        <x:v>Day1预算与锁定机动预算分开；机动预算不得提前放入Campaign。</x:v>
      </x:c>
      <x:c r="B2" s="69"/>
      <x:c r="C2" s="69"/>
      <x:c r="D2" s="69"/>
      <x:c r="E2" s="69"/>
      <x:c r="F2" s="69"/>
      <x:c r="G2" s="69"/>
      <x:c r="H2" s="69"/>
      <x:c r="I2" s="69"/>
      <x:c r="J2" s="69"/>
    </x:row>
    <x:row r="3">
      <x:c r="A3" s="69"/>
      <x:c r="B3" s="69"/>
      <x:c r="C3" s="69"/>
      <x:c r="D3" s="69"/>
      <x:c r="E3" s="69"/>
      <x:c r="F3" s="69"/>
      <x:c r="G3" s="69"/>
      <x:c r="H3" s="69"/>
      <x:c r="I3" s="69"/>
      <x:c r="J3" s="69"/>
    </x:row>
    <x:row r="4" ht="34" customHeight="1">
      <x:c r="A4" s="78" t="str">
        <x:v>SKU</x:v>
      </x:c>
      <x:c r="B4" s="79" t="str">
        <x:v>投放层</x:v>
      </x:c>
      <x:c r="C4" s="79" t="str">
        <x:v>Campaign</x:v>
      </x:c>
      <x:c r="D4" s="79" t="str">
        <x:v>月预算</x:v>
      </x:c>
      <x:c r="E4" s="79" t="str">
        <x:v>Daily Cap</x:v>
      </x:c>
      <x:c r="F4" s="79" t="str">
        <x:v>实际花费(输入)</x:v>
      </x:c>
      <x:c r="G4" s="79" t="str">
        <x:v>剩余预算</x:v>
      </x:c>
      <x:c r="H4" s="79" t="str">
        <x:v>花费率</x:v>
      </x:c>
      <x:c r="I4" s="79" t="str">
        <x:v>释放/上线Gate</x:v>
      </x:c>
      <x:c r="J4" s="80" t="str">
        <x:v>负责人</x:v>
      </x:c>
    </x:row>
    <x:row r="5">
      <x:c r="A5" s="81" t="str">
        <x:v>DMOM1021</x:v>
      </x:c>
      <x:c r="B5" s="82" t="str">
        <x:v>Keyword Core</x:v>
      </x:c>
      <x:c r="C5" s="82" t="str">
        <x:v>YB_US_KW_DMOM1021_CORE_202608</x:v>
      </x:c>
      <x:c r="D5" s="88" t="n">
        <x:v>380</x:v>
      </x:c>
      <x:c r="E5" s="88" t="n">
        <x:v>12.26</x:v>
      </x:c>
      <x:c r="F5" s="90" t="n">
        <x:v>0</x:v>
      </x:c>
      <x:c r="G5" s="88" t="n">
        <x:f>MAX(0,D5-F5)</x:f>
        <x:v>380</x:v>
      </x:c>
      <x:c r="H5" s="91" t="n">
        <x:f>IFERROR(F5/D5,0)</x:f>
        <x:v>0</x:v>
      </x:c>
      <x:c r="I5" s="82" t="str">
        <x:v>US站点/Listing/关键词/Negative双人QA；旧597350待切换</x:v>
      </x:c>
      <x:c r="J5" s="83" t="str">
        <x:v>广告运营</x:v>
      </x:c>
    </x:row>
    <x:row r="6">
      <x:c r="A6" s="81" t="str">
        <x:v>DMOM1021</x:v>
      </x:c>
      <x:c r="B6" s="82" t="str">
        <x:v>Product US</x:v>
      </x:c>
      <x:c r="C6" s="82" t="str">
        <x:v>DMOM1021-宽二680</x:v>
      </x:c>
      <x:c r="D6" s="88" t="n">
        <x:v>320</x:v>
      </x:c>
      <x:c r="E6" s="88" t="n">
        <x:v>10.32</x:v>
      </x:c>
      <x:c r="F6" s="90" t="n">
        <x:v>0</x:v>
      </x:c>
      <x:c r="G6" s="88" t="n">
        <x:f>MAX(0,D6-F6)</x:f>
        <x:v>320</x:v>
      </x:c>
      <x:c r="H6" s="91" t="n">
        <x:f>IFERROR(F6/D6,0)</x:f>
        <x:v>0</x:v>
      </x:c>
      <x:c r="I6" s="82" t="str">
        <x:v>Live、库存ID确认、无Catalog restriction</x:v>
      </x:c>
      <x:c r="J6" s="83" t="str">
        <x:v>广告运营</x:v>
      </x:c>
    </x:row>
    <x:row r="7">
      <x:c r="A7" s="81" t="str">
        <x:v>DMOM1022</x:v>
      </x:c>
      <x:c r="B7" s="82" t="str">
        <x:v>Keyword Mobile</x:v>
      </x:c>
      <x:c r="C7" s="82" t="str">
        <x:v>YB_US_KW_DMOM1022_MOBILE_202608</x:v>
      </x:c>
      <x:c r="D7" s="88" t="n">
        <x:v>120</x:v>
      </x:c>
      <x:c r="E7" s="88" t="n">
        <x:v>3.87</x:v>
      </x:c>
      <x:c r="F7" s="90" t="n">
        <x:v>0</x:v>
      </x:c>
      <x:c r="G7" s="88" t="n">
        <x:f>MAX(0,D7-F7)</x:f>
        <x:v>120</x:v>
      </x:c>
      <x:c r="H7" s="91" t="n">
        <x:f>IFERROR(F7/D7,0)</x:f>
        <x:v>0</x:v>
      </x:c>
      <x:c r="I7" s="82" t="str">
        <x:v>只投mobile/rolling/3-drawer结构词；旧598135/661593待切换</x:v>
      </x:c>
      <x:c r="J7" s="83" t="str">
        <x:v>广告运营</x:v>
      </x:c>
    </x:row>
    <x:row r="8">
      <x:c r="A8" s="81" t="str">
        <x:v>DMOM1022</x:v>
      </x:c>
      <x:c r="B8" s="82" t="str">
        <x:v>Product US</x:v>
      </x:c>
      <x:c r="C8" s="82" t="str">
        <x:v>DMOM1022-三抽活动柜(US)</x:v>
      </x:c>
      <x:c r="D8" s="88" t="n">
        <x:v>220</x:v>
      </x:c>
      <x:c r="E8" s="88" t="n">
        <x:v>7.1</x:v>
      </x:c>
      <x:c r="F8" s="90" t="n">
        <x:v>0</x:v>
      </x:c>
      <x:c r="G8" s="88" t="n">
        <x:f>MAX(0,D8-F8)</x:f>
        <x:v>220</x:v>
      </x:c>
      <x:c r="H8" s="91" t="n">
        <x:f>IFERROR(F8/D8,0)</x:f>
        <x:v>0</x:v>
      </x:c>
      <x:c r="I8" s="82" t="str">
        <x:v>Live、库存ID确认；B2B先关闭加权</x:v>
      </x:c>
      <x:c r="J8" s="83" t="str">
        <x:v>广告运营</x:v>
      </x:c>
    </x:row>
    <x:row r="9">
      <x:c r="A9" s="81" t="str">
        <x:v>DMOM1022</x:v>
      </x:c>
      <x:c r="B9" s="82" t="str">
        <x:v>Product Canada</x:v>
      </x:c>
      <x:c r="C9" s="82" t="str">
        <x:v>DMOM1022-三抽活动柜-Canada</x:v>
      </x:c>
      <x:c r="D9" s="88" t="n">
        <x:v>50</x:v>
      </x:c>
      <x:c r="E9" s="88" t="n">
        <x:v>1.61</x:v>
      </x:c>
      <x:c r="F9" s="90" t="n">
        <x:v>0</x:v>
      </x:c>
      <x:c r="G9" s="88" t="n">
        <x:f>MAX(0,D9-F9)</x:f>
        <x:v>50</x:v>
      </x:c>
      <x:c r="H9" s="91" t="n">
        <x:f>IFERROR(F9/D9,0)</x:f>
        <x:v>0</x:v>
      </x:c>
      <x:c r="I9" s="82" t="str">
        <x:v>仅Canada；累计花费$50硬停</x:v>
      </x:c>
      <x:c r="J9" s="83" t="str">
        <x:v>广告运营</x:v>
      </x:c>
    </x:row>
    <x:row r="10">
      <x:c r="A10" s="81" t="str">
        <x:v>DMOM1019</x:v>
      </x:c>
      <x:c r="B10" s="82" t="str">
        <x:v>Keyword Core</x:v>
      </x:c>
      <x:c r="C10" s="82" t="str">
        <x:v>YB_US_KW_DMOM1019_CORE_202608</x:v>
      </x:c>
      <x:c r="D10" s="88" t="n">
        <x:v>200</x:v>
      </x:c>
      <x:c r="E10" s="88" t="n">
        <x:v>6.45</x:v>
      </x:c>
      <x:c r="F10" s="90" t="n">
        <x:v>0</x:v>
      </x:c>
      <x:c r="G10" s="88" t="n">
        <x:f>MAX(0,D10-F10)</x:f>
        <x:v>200</x:v>
      </x:c>
      <x:c r="H10" s="91" t="n">
        <x:f>IFERROR(F10/D10,0)</x:f>
        <x:v>0</x:v>
      </x:c>
      <x:c r="I10" s="82" t="str">
        <x:v>US站点/Listing/关键词/Negative双人QA；旧597350待切换</x:v>
      </x:c>
      <x:c r="J10" s="83" t="str">
        <x:v>广告运营</x:v>
      </x:c>
    </x:row>
    <x:row r="11">
      <x:c r="A11" s="81" t="str">
        <x:v>DMOM1019</x:v>
      </x:c>
      <x:c r="B11" s="82" t="str">
        <x:v>Product US</x:v>
      </x:c>
      <x:c r="C11" s="82" t="str">
        <x:v>DMOM1019-窄三-VFC-3B</x:v>
      </x:c>
      <x:c r="D11" s="88" t="n">
        <x:v>90</x:v>
      </x:c>
      <x:c r="E11" s="88" t="n">
        <x:v>2.9</x:v>
      </x:c>
      <x:c r="F11" s="90" t="n">
        <x:v>0</x:v>
      </x:c>
      <x:c r="G11" s="88" t="n">
        <x:f>MAX(0,D11-F11)</x:f>
        <x:v>90</x:v>
      </x:c>
      <x:c r="H11" s="91" t="n">
        <x:f>IFERROR(F11/D11,0)</x:f>
        <x:v>0</x:v>
      </x:c>
      <x:c r="I11" s="82" t="str">
        <x:v>后台Listing仍Inactive则运营否决启用；Live/库存同时通过</x:v>
      </x:c>
      <x:c r="J11" s="83" t="str">
        <x:v>广告运营</x:v>
      </x:c>
    </x:row>
    <x:row r="12">
      <x:c r="A12" s="81" t="str">
        <x:v>DMOM1003</x:v>
      </x:c>
      <x:c r="B12" s="82" t="str">
        <x:v>Keyword Mixed</x:v>
      </x:c>
      <x:c r="C12" s="82" t="str">
        <x:v>YB_US_KW_DMOM1003_TEST_202608</x:v>
      </x:c>
      <x:c r="D12" s="88" t="n">
        <x:v>50</x:v>
      </x:c>
      <x:c r="E12" s="88" t="n">
        <x:v>1.61</x:v>
      </x:c>
      <x:c r="F12" s="90" t="n">
        <x:v>0</x:v>
      </x:c>
      <x:c r="G12" s="88" t="n">
        <x:f>MAX(0,D12-F12)</x:f>
        <x:v>50</x:v>
      </x:c>
      <x:c r="H12" s="91" t="n">
        <x:f>IFERROR(F12/D12,0)</x:f>
        <x:v>0</x:v>
      </x:c>
      <x:c r="I12" s="82" t="str">
        <x:v>无历史关键词证据；只投高度相关词；库存ID确认</x:v>
      </x:c>
      <x:c r="J12" s="83" t="str">
        <x:v>广告运营</x:v>
      </x:c>
    </x:row>
    <x:row r="13">
      <x:c r="A13" s="81" t="str">
        <x:v>DMOM1003</x:v>
      </x:c>
      <x:c r="B13" s="82" t="str">
        <x:v>Product US</x:v>
      </x:c>
      <x:c r="C13" s="82" t="str">
        <x:v>HIGH_POTENTIAL_SKU-Wayfair(US)-0507</x:v>
      </x:c>
      <x:c r="D13" s="88" t="n">
        <x:v>90</x:v>
      </x:c>
      <x:c r="E13" s="88" t="n">
        <x:v>2.9</x:v>
      </x:c>
      <x:c r="F13" s="90" t="n">
        <x:v>0</x:v>
      </x:c>
      <x:c r="G13" s="88" t="n">
        <x:f>MAX(0,D13-F13)</x:f>
        <x:v>90</x:v>
      </x:c>
      <x:c r="H13" s="91" t="n">
        <x:f>IFERROR(F13/D13,0)</x:f>
        <x:v>0</x:v>
      </x:c>
      <x:c r="I13" s="82" t="str">
        <x:v>4T-Kayak Live；库存节点归属确认；Backorder即停</x:v>
      </x:c>
      <x:c r="J13" s="83" t="str">
        <x:v>广告运营</x:v>
      </x:c>
    </x:row>
    <x:row r="14">
      <x:c r="A14" s="81" t="str">
        <x:v>DMOM1018</x:v>
      </x:c>
      <x:c r="B14" s="82" t="str">
        <x:v>Product修复测试</x:v>
      </x:c>
      <x:c r="C14" s="82" t="str">
        <x:v>DMOM1018-LFC-2B-宽二</x:v>
      </x:c>
      <x:c r="D14" s="88" t="n">
        <x:v>30</x:v>
      </x:c>
      <x:c r="E14" s="88" t="n">
        <x:v>1</x:v>
      </x:c>
      <x:c r="F14" s="90" t="n">
        <x:v>0</x:v>
      </x:c>
      <x:c r="G14" s="88" t="n">
        <x:f>MAX(0,D14-F14)</x:f>
        <x:v>30</x:v>
      </x:c>
      <x:c r="H14" s="91" t="n">
        <x:f>IFERROR(F14/D14,0)</x:f>
        <x:v>0</x:v>
      </x:c>
      <x:c r="I14" s="82" t="str">
        <x:v>主图/转化修复完成；未修复运营否决上线</x:v>
      </x:c>
      <x:c r="J14" s="83" t="str">
        <x:v>广告运营+内容</x:v>
      </x:c>
    </x:row>
    <x:row r="15">
      <x:c r="A15" s="81" t="str">
        <x:v>DMOM1017</x:v>
      </x:c>
      <x:c r="B15" s="82" t="str">
        <x:v>Product限额</x:v>
      </x:c>
      <x:c r="C15" s="82" t="str">
        <x:v>3 Tier shelves-三层置物架</x:v>
      </x:c>
      <x:c r="D15" s="88" t="n">
        <x:v>10</x:v>
      </x:c>
      <x:c r="E15" s="88" t="n">
        <x:v>1</x:v>
      </x:c>
      <x:c r="F15" s="90" t="n">
        <x:v>0</x:v>
      </x:c>
      <x:c r="G15" s="88" t="n">
        <x:f>MAX(0,D15-F15)</x:f>
        <x:v>10</x:v>
      </x:c>
      <x:c r="H15" s="91" t="n">
        <x:f>IFERROR(F15/D15,0)</x:f>
        <x:v>0</x:v>
      </x:c>
      <x:c r="I15" s="82" t="str">
        <x:v>评分4.0且仅1评；只允许10天测试</x:v>
      </x:c>
      <x:c r="J15" s="83" t="str">
        <x:v>广告运营+评价</x:v>
      </x:c>
    </x:row>
    <x:row r="16">
      <x:c r="A16" s="81" t="str">
        <x:v>DMOM1000</x:v>
      </x:c>
      <x:c r="B16" s="82" t="str">
        <x:v>Product修复测试</x:v>
      </x:c>
      <x:c r="C16" s="82" t="str">
        <x:v>DMOM1000-中型货架</x:v>
      </x:c>
      <x:c r="D16" s="88" t="n">
        <x:v>10</x:v>
      </x:c>
      <x:c r="E16" s="88" t="n">
        <x:v>1</x:v>
      </x:c>
      <x:c r="F16" s="90" t="n">
        <x:v>0</x:v>
      </x:c>
      <x:c r="G16" s="88" t="n">
        <x:f>MAX(0,D16-F16)</x:f>
        <x:v>10</x:v>
      </x:c>
      <x:c r="H16" s="91" t="n">
        <x:f>IFERROR(F16/D16,0)</x:f>
        <x:v>0</x:v>
      </x:c>
      <x:c r="I16" s="82" t="str">
        <x:v>所有Part无Reviewing/Rejected且Live；否则运营否决</x:v>
      </x:c>
      <x:c r="J16" s="83" t="str">
        <x:v>广告运营+目录</x:v>
      </x:c>
    </x:row>
    <x:row r="17">
      <x:c r="A17" s="84" t="str">
        <x:v>ACCOUNT</x:v>
      </x:c>
      <x:c r="B17" s="85" t="str">
        <x:v>锁定机动预算</x:v>
      </x:c>
      <x:c r="C17" s="85" t="str">
        <x:v>7日Gate机动池</x:v>
      </x:c>
      <x:c r="D17" s="89" t="n">
        <x:v>230</x:v>
      </x:c>
      <x:c r="E17" s="89" t="n">
        <x:v>0</x:v>
      </x:c>
      <x:c r="F17" s="92" t="n">
        <x:v>0</x:v>
      </x:c>
      <x:c r="G17" s="89" t="n">
        <x:f>MAX(0,D17-F17)</x:f>
        <x:v>230</x:v>
      </x:c>
      <x:c r="H17" s="93" t="n">
        <x:f>IFERROR(F17/D17,0)</x:f>
        <x:v>0</x:v>
      </x:c>
      <x:c r="I17" s="85" t="str">
        <x:v>Day1不进入任何Campaign</x:v>
      </x:c>
      <x:c r="J17" s="86" t="str">
        <x:v>运营经理</x:v>
      </x:c>
    </x:row>
    <x:row r="18">
      <x:c r="A18" s="69"/>
      <x:c r="B18" s="69"/>
      <x:c r="C18" s="69"/>
      <x:c r="D18" s="69"/>
      <x:c r="E18" s="69"/>
      <x:c r="F18" s="69"/>
      <x:c r="G18" s="69"/>
      <x:c r="H18" s="69"/>
      <x:c r="I18" s="69"/>
      <x:c r="J18" s="69"/>
    </x:row>
    <x:row r="19">
      <x:c r="A19" s="73" t="str">
        <x:v>预算合计（必须=$1,800）</x:v>
      </x:c>
      <x:c r="B19" s="73"/>
      <x:c r="C19" s="73"/>
      <x:c r="D19" s="94" t="n">
        <x:f>SUM(D5:D17)</x:f>
        <x:v>1800</x:v>
      </x:c>
      <x:c r="E19" s="69"/>
      <x:c r="F19" s="69"/>
      <x:c r="G19" s="69"/>
      <x:c r="H19" s="69"/>
      <x:c r="I19" s="69"/>
      <x:c r="J19" s="69"/>
    </x:row>
  </x:sheetData>
  <x:mergeCells>
    <x:mergeCell ref="A1:J1"/>
    <x:mergeCell ref="A2:J2"/>
    <x:mergeCell ref="A19:C19"/>
  </x:mergeCells>
  <x:conditionalFormatting sqref="H5:H17">
    <x:cfRule type="cellIs" dxfId="6" priority="1" operator="greaterThan">
      <x:formula>1.2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fae8f03c7db478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1" hidden="0" customWidth="1"/>
    <x:col min="4" max="4" width="11" hidden="0" customWidth="1"/>
    <x:col min="5" max="5" width="11" hidden="0" customWidth="1"/>
    <x:col min="6" max="6" width="16" hidden="0" customWidth="1"/>
    <x:col min="7" max="7" width="50" hidden="0" customWidth="1"/>
  </x:cols>
  <x:sheetData>
    <x:row r="1" ht="34" customHeight="1">
      <x:c r="A1" s="87" t="str">
        <x:v>BM CPC与Bid审计</x:v>
      </x:c>
      <x:c r="B1" s="69"/>
      <x:c r="C1" s="69"/>
      <x:c r="D1" s="69"/>
      <x:c r="E1" s="69"/>
      <x:c r="F1" s="69"/>
      <x:c r="G1" s="69"/>
    </x:row>
    <x:row r="2" ht="32" customHeight="1">
      <x:c r="A2" s="70" t="str">
        <x:v>会议课件只提供BM CPC，不提供BM Bid。BM CPC仅作点击成本锚，不等于平台建议Bid。</x:v>
      </x:c>
      <x:c r="B2" s="69"/>
      <x:c r="C2" s="69"/>
      <x:c r="D2" s="69"/>
      <x:c r="E2" s="69"/>
      <x:c r="F2" s="69"/>
      <x:c r="G2" s="69"/>
    </x:row>
    <x:row r="3">
      <x:c r="A3" s="69"/>
      <x:c r="B3" s="69"/>
      <x:c r="C3" s="69"/>
      <x:c r="D3" s="69"/>
      <x:c r="E3" s="69"/>
      <x:c r="F3" s="69"/>
      <x:c r="G3" s="69"/>
    </x:row>
    <x:row r="4" ht="34" customHeight="1">
      <x:c r="A4" s="78" t="str">
        <x:v>类目</x:v>
      </x:c>
      <x:c r="B4" s="79" t="str">
        <x:v>BM CPC</x:v>
      </x:c>
      <x:c r="C4" s="79" t="str">
        <x:v>来源</x:v>
      </x:c>
      <x:c r="D4" s="80" t="str">
        <x:v>可用性</x:v>
      </x:c>
      <x:c r="E4" s="69"/>
      <x:c r="F4" s="69"/>
      <x:c r="G4" s="69"/>
    </x:row>
    <x:row r="5">
      <x:c r="A5" s="81" t="str">
        <x:v>Filing Cabinets</x:v>
      </x:c>
      <x:c r="B5" s="88" t="n">
        <x:v>0.53</x:v>
      </x:c>
      <x:c r="C5" s="82" t="str">
        <x:v>课件P22 BM CPC</x:v>
      </x:c>
      <x:c r="D5" s="83" t="str">
        <x:v>有基准</x:v>
      </x:c>
      <x:c r="E5" s="69"/>
      <x:c r="F5" s="69"/>
      <x:c r="G5" s="69"/>
    </x:row>
    <x:row r="6">
      <x:c r="A6" s="81" t="str">
        <x:v>Bike And Sport Racks</x:v>
      </x:c>
      <x:c r="B6" s="88" t="n">
        <x:v>0.57</x:v>
      </x:c>
      <x:c r="C6" s="82" t="str">
        <x:v>课件P22 BM CPC</x:v>
      </x:c>
      <x:c r="D6" s="83" t="str">
        <x:v>有基准</x:v>
      </x:c>
      <x:c r="E6" s="69"/>
      <x:c r="F6" s="69"/>
      <x:c r="G6" s="69"/>
    </x:row>
    <x:row r="7">
      <x:c r="A7" s="81" t="str">
        <x:v>Pantry Cabinets</x:v>
      </x:c>
      <x:c r="B7" s="88" t="n">
        <x:v>0.34</x:v>
      </x:c>
      <x:c r="C7" s="82" t="str">
        <x:v>课件P22 BM CPC</x:v>
      </x:c>
      <x:c r="D7" s="83" t="str">
        <x:v>有基准</x:v>
      </x:c>
      <x:c r="E7" s="69"/>
      <x:c r="F7" s="69"/>
      <x:c r="G7" s="69"/>
    </x:row>
    <x:row r="8">
      <x:c r="A8" s="81" t="str">
        <x:v>Lockers</x:v>
      </x:c>
      <x:c r="B8" s="88" t="n">
        <x:v>0.56</x:v>
      </x:c>
      <x:c r="C8" s="82" t="str">
        <x:v>课件P22 BM CPC</x:v>
      </x:c>
      <x:c r="D8" s="83" t="str">
        <x:v>有基准</x:v>
      </x:c>
      <x:c r="E8" s="69"/>
      <x:c r="F8" s="69"/>
      <x:c r="G8" s="69"/>
    </x:row>
    <x:row r="9">
      <x:c r="A9" s="81" t="str">
        <x:v>Shelving &amp; Racks</x:v>
      </x:c>
      <x:c r="B9" s="88"/>
      <x:c r="C9" s="82" t="str">
        <x:v>课件未提供</x:v>
      </x:c>
      <x:c r="D9" s="83" t="str">
        <x:v>不可判</x:v>
      </x:c>
      <x:c r="E9" s="69"/>
      <x:c r="F9" s="69"/>
      <x:c r="G9" s="69"/>
    </x:row>
    <x:row r="10">
      <x:c r="A10" s="84" t="str">
        <x:v>Aquariums &amp; Bowls</x:v>
      </x:c>
      <x:c r="B10" s="89"/>
      <x:c r="C10" s="85" t="str">
        <x:v>课件未提供</x:v>
      </x:c>
      <x:c r="D10" s="86" t="str">
        <x:v>不可判</x:v>
      </x:c>
      <x:c r="E10" s="69"/>
      <x:c r="F10" s="69"/>
      <x:c r="G10" s="69"/>
    </x:row>
    <x:row r="11">
      <x:c r="A11" s="69"/>
      <x:c r="B11" s="95"/>
      <x:c r="C11" s="69"/>
      <x:c r="D11" s="69"/>
      <x:c r="E11" s="69"/>
      <x:c r="F11" s="69"/>
      <x:c r="G11" s="69"/>
    </x:row>
    <x:row r="12">
      <x:c r="A12" s="69"/>
      <x:c r="B12" s="95"/>
      <x:c r="C12" s="69"/>
      <x:c r="D12" s="69"/>
      <x:c r="E12" s="69"/>
      <x:c r="F12" s="69"/>
      <x:c r="G12" s="69"/>
    </x:row>
    <x:row r="13" ht="34" customHeight="1">
      <x:c r="A13" s="78" t="str">
        <x:v>层级</x:v>
      </x:c>
      <x:c r="B13" s="96" t="str">
        <x:v>对象</x:v>
      </x:c>
      <x:c r="C13" s="79" t="str">
        <x:v>当前Bid</x:v>
      </x:c>
      <x:c r="D13" s="79" t="str">
        <x:v>实际CPC</x:v>
      </x:c>
      <x:c r="E13" s="79" t="str">
        <x:v>BM CPC锚</x:v>
      </x:c>
      <x:c r="F13" s="79" t="str">
        <x:v>建议动作</x:v>
      </x:c>
      <x:c r="G13" s="80" t="str">
        <x:v>运营解释</x:v>
      </x:c>
    </x:row>
    <x:row r="14">
      <x:c r="A14" s="81" t="str">
        <x:v>Product</x:v>
      </x:c>
      <x:c r="B14" s="88" t="str">
        <x:v>DMOM1021</x:v>
      </x:c>
      <x:c r="C14" s="88" t="n">
        <x:v>0.68</x:v>
      </x:c>
      <x:c r="D14" s="88" t="n">
        <x:v>0.6848</x:v>
      </x:c>
      <x:c r="E14" s="88" t="n">
        <x:v>0.53</x:v>
      </x:c>
      <x:c r="F14" s="82" t="str">
        <x:v>$0.55</x:v>
      </x:c>
      <x:c r="G14" s="83" t="str">
        <x:v>CPC高BM约29%；ROAS 3.49×，温和降Bid+控Cap</x:v>
      </x:c>
    </x:row>
    <x:row r="15">
      <x:c r="A15" s="81" t="str">
        <x:v>Product</x:v>
      </x:c>
      <x:c r="B15" s="88" t="str">
        <x:v>DMOM1022</x:v>
      </x:c>
      <x:c r="C15" s="88" t="n">
        <x:v>0.6</x:v>
      </x:c>
      <x:c r="D15" s="88" t="n">
        <x:v>0.747</x:v>
      </x:c>
      <x:c r="E15" s="88" t="n">
        <x:v>0.53</x:v>
      </x:c>
      <x:c r="F15" s="82" t="str">
        <x:v>$0.42</x:v>
      </x:c>
      <x:c r="G15" s="83" t="str">
        <x:v>CPC高BM约41%；ROAS 1.97×，需明显降成本</x:v>
      </x:c>
    </x:row>
    <x:row r="16">
      <x:c r="A16" s="81" t="str">
        <x:v>Product</x:v>
      </x:c>
      <x:c r="B16" s="88" t="str">
        <x:v>DMOM1018</x:v>
      </x:c>
      <x:c r="C16" s="88" t="n">
        <x:v>0.6</x:v>
      </x:c>
      <x:c r="D16" s="88" t="n">
        <x:v>0.87</x:v>
      </x:c>
      <x:c r="E16" s="88" t="n">
        <x:v>0.53</x:v>
      </x:c>
      <x:c r="F16" s="82" t="str">
        <x:v>修复后$0.30</x:v>
      </x:c>
      <x:c r="G16" s="83" t="str">
        <x:v>ROAS 1.19×，未修复前不投</x:v>
      </x:c>
    </x:row>
    <x:row r="17">
      <x:c r="A17" s="81" t="str">
        <x:v>Product</x:v>
      </x:c>
      <x:c r="B17" s="88" t="str">
        <x:v>DMOM1003</x:v>
      </x:c>
      <x:c r="C17" s="88" t="n">
        <x:v>0.75</x:v>
      </x:c>
      <x:c r="D17" s="88" t="n">
        <x:v>0.8671</x:v>
      </x:c>
      <x:c r="E17" s="88" t="n">
        <x:v>0.57</x:v>
      </x:c>
      <x:c r="F17" s="82" t="str">
        <x:v>$0.55</x:v>
      </x:c>
      <x:c r="G17" s="83" t="str">
        <x:v>CPC高BM约52%；ROAS 3.61×，控成本不砍流量</x:v>
      </x:c>
    </x:row>
    <x:row r="18">
      <x:c r="A18" s="81" t="str">
        <x:v>Product</x:v>
      </x:c>
      <x:c r="B18" s="88" t="str">
        <x:v>DMOM1042</x:v>
      </x:c>
      <x:c r="C18" s="88" t="n">
        <x:v>0.45</x:v>
      </x:c>
      <x:c r="D18" s="88" t="n">
        <x:v>0.4326</x:v>
      </x:c>
      <x:c r="E18" s="88" t="n">
        <x:v>0.34</x:v>
      </x:c>
      <x:c r="F18" s="82" t="str">
        <x:v>暂停</x:v>
      </x:c>
      <x:c r="G18" s="83" t="str">
        <x:v>62击0单；不能只靠降Bid</x:v>
      </x:c>
    </x:row>
    <x:row r="19">
      <x:c r="A19" s="81" t="str">
        <x:v>Keyword</x:v>
      </x:c>
      <x:c r="B19" s="88" t="str">
        <x:v>white filing cabinets（共享组）</x:v>
      </x:c>
      <x:c r="C19" s="88" t="n">
        <x:v>0.88</x:v>
      </x:c>
      <x:c r="D19" s="88" t="n">
        <x:v>1.0783</x:v>
      </x:c>
      <x:c r="E19" s="88" t="n">
        <x:v>0.53</x:v>
      </x:c>
      <x:c r="F19" s="82" t="str">
        <x:v>不迁移</x:v>
      </x:c>
      <x:c r="G19" s="83" t="str">
        <x:v>实际CPC $1.08 vs BM CPC $0.53（约+103%）；当前Bid/BM CPC仅为风险proxy，不是Bid基准</x:v>
      </x:c>
    </x:row>
    <x:row r="20">
      <x:c r="A20" s="81" t="str">
        <x:v>Keyword</x:v>
      </x:c>
      <x:c r="B20" s="88" t="str">
        <x:v>legal size file cabinet / DMOM1021</x:v>
      </x:c>
      <x:c r="C20" s="88" t="n">
        <x:v>0.7</x:v>
      </x:c>
      <x:c r="D20" s="88"/>
      <x:c r="E20" s="88" t="n">
        <x:v>0.53</x:v>
      </x:c>
      <x:c r="F20" s="82" t="str">
        <x:v>不迁移</x:v>
      </x:c>
      <x:c r="G20" s="83" t="str">
        <x:v>无量且相关性存疑</x:v>
      </x:c>
    </x:row>
    <x:row r="21">
      <x:c r="A21" s="84" t="str">
        <x:v>Keyword</x:v>
      </x:c>
      <x:c r="B21" s="85" t="str">
        <x:v>多个Smart Exact $0.65</x:v>
      </x:c>
      <x:c r="C21" s="89" t="n">
        <x:v>0.65</x:v>
      </x:c>
      <x:c r="D21" s="89"/>
      <x:c r="E21" s="89" t="n">
        <x:v>0.53</x:v>
      </x:c>
      <x:c r="F21" s="85" t="str">
        <x:v>不迁移</x:v>
      </x:c>
      <x:c r="G21" s="86" t="str">
        <x:v>曝光/订单证据不足，重建SKU词表</x:v>
      </x:c>
    </x:row>
    <x:row r="22">
      <x:c r="A22" s="69"/>
      <x:c r="B22" s="69"/>
      <x:c r="C22" s="95"/>
      <x:c r="D22" s="95"/>
      <x:c r="E22" s="95"/>
      <x:c r="F22" s="69"/>
      <x:c r="G22" s="69"/>
    </x:row>
    <x:row r="23">
      <x:c r="A23" s="69"/>
      <x:c r="B23" s="69"/>
      <x:c r="C23" s="95"/>
      <x:c r="D23" s="95"/>
      <x:c r="E23" s="95"/>
      <x:c r="F23" s="69"/>
      <x:c r="G23" s="69"/>
    </x:row>
    <x:row r="24">
      <x:c r="A24" s="69"/>
      <x:c r="B24" s="69"/>
      <x:c r="C24" s="95"/>
      <x:c r="D24" s="95"/>
      <x:c r="E24" s="95"/>
      <x:c r="F24" s="69"/>
      <x:c r="G24" s="69"/>
    </x:row>
    <x:row r="25">
      <x:c r="A25" s="69"/>
      <x:c r="B25" s="69"/>
      <x:c r="C25" s="95"/>
      <x:c r="D25" s="95"/>
      <x:c r="E25" s="95"/>
      <x:c r="F25" s="69"/>
      <x:c r="G25" s="69"/>
    </x:row>
    <x:row r="26">
      <x:c r="A26" s="69"/>
      <x:c r="B26" s="69"/>
      <x:c r="C26" s="95"/>
      <x:c r="D26" s="95"/>
      <x:c r="E26" s="95"/>
      <x:c r="F26" s="69"/>
      <x:c r="G26" s="69"/>
    </x:row>
    <x:row r="27">
      <x:c r="A27" s="69"/>
      <x:c r="B27" s="69"/>
      <x:c r="C27" s="95"/>
      <x:c r="D27" s="95"/>
      <x:c r="E27" s="95"/>
      <x:c r="F27" s="69"/>
      <x:c r="G27" s="69"/>
    </x:row>
    <x:row r="28">
      <x:c r="A28" s="69"/>
      <x:c r="B28" s="69"/>
      <x:c r="C28" s="95"/>
      <x:c r="D28" s="95"/>
      <x:c r="E28" s="95"/>
      <x:c r="F28" s="69"/>
      <x:c r="G28" s="69"/>
    </x:row>
    <x:row r="29">
      <x:c r="A29" s="69"/>
      <x:c r="B29" s="69"/>
      <x:c r="C29" s="95"/>
      <x:c r="D29" s="95"/>
      <x:c r="E29" s="95"/>
      <x:c r="F29" s="69"/>
      <x:c r="G29" s="69"/>
    </x:row>
    <x:row r="30">
      <x:c r="A30" s="69"/>
      <x:c r="B30" s="69"/>
      <x:c r="C30" s="95"/>
      <x:c r="D30" s="95"/>
      <x:c r="E30" s="95"/>
      <x:c r="F30" s="69"/>
      <x:c r="G30" s="69"/>
    </x:row>
  </x:sheetData>
  <x:mergeCells>
    <x:mergeCell ref="A1:F1"/>
    <x:mergeCell ref="A2:F2"/>
  </x:mergeCells>
  <x:pageMargins left="0.7" right="0.7" top="0.75" bottom="0.75" header="0.3" footer="0.3"/>
  <x:tableParts count="2">
    <x:tablePart xmlns:r="http://schemas.openxmlformats.org/officeDocument/2006/relationships" r:id="Rf86e5847de634102"/>
    <x:tablePart xmlns:r="http://schemas.openxmlformats.org/officeDocument/2006/relationships" r:id="R6fcee3a592834b2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60" hidden="0" customWidth="1"/>
  </x:cols>
  <x:sheetData>
    <x:row r="1" ht="34" customHeight="1">
      <x:c r="A1" s="87" t="str">
        <x:v>$230机动预算释放瀑布</x:v>
      </x:c>
      <x:c r="B1" s="69"/>
      <x:c r="C1" s="69"/>
      <x:c r="D1" s="69"/>
    </x:row>
    <x:row r="2" ht="32" customHeight="1">
      <x:c r="A2" s="70" t="str">
        <x:v>必须按优先级逐项扣减；不得提高账户总预算，不得救≥20点击0单组。</x:v>
      </x:c>
      <x:c r="B2" s="69"/>
      <x:c r="C2" s="69"/>
      <x:c r="D2" s="69"/>
    </x:row>
    <x:row r="3">
      <x:c r="A3" s="69"/>
      <x:c r="B3" s="69"/>
      <x:c r="C3" s="69"/>
      <x:c r="D3" s="69"/>
    </x:row>
    <x:row r="4" ht="34" customHeight="1">
      <x:c r="A4" s="78" t="str">
        <x:v>顺序</x:v>
      </x:c>
      <x:c r="B4" s="79" t="str">
        <x:v>释放对象</x:v>
      </x:c>
      <x:c r="C4" s="79" t="str">
        <x:v>最高释放额</x:v>
      </x:c>
      <x:c r="D4" s="80" t="str">
        <x:v>Day14必要条件</x:v>
      </x:c>
    </x:row>
    <x:row r="5">
      <x:c r="A5" s="81" t="n">
        <x:v>1</x:v>
      </x:c>
      <x:c r="B5" s="82" t="str">
        <x:v>DMOM1021 Exact</x:v>
      </x:c>
      <x:c r="C5" s="97" t="n">
        <x:v>100</x:v>
      </x:c>
      <x:c r="D5" s="83" t="str">
        <x:v>Day14≥3单、WSC ROAS≥4×、CVR≥2%、库存Gate通过</x:v>
      </x:c>
    </x:row>
    <x:row r="6">
      <x:c r="A6" s="81" t="n">
        <x:v>2</x:v>
      </x:c>
      <x:c r="B6" s="82" t="str">
        <x:v>DMOM1019 Exact</x:v>
      </x:c>
      <x:c r="C6" s="97" t="n">
        <x:v>60</x:v>
      </x:c>
      <x:c r="D6" s="83" t="str">
        <x:v>Day14≥3单、WSC ROAS≥4×、Live且Product状态可用</x:v>
      </x:c>
    </x:row>
    <x:row r="7">
      <x:c r="A7" s="81" t="n">
        <x:v>3</x:v>
      </x:c>
      <x:c r="B7" s="82" t="str">
        <x:v>DMOM1022 Product</x:v>
      </x:c>
      <x:c r="C7" s="97" t="n">
        <x:v>40</x:v>
      </x:c>
      <x:c r="D7" s="83" t="str">
        <x:v>Day14 WSC ROAS≥4×且实际CPC下降、库存Gate通过</x:v>
      </x:c>
    </x:row>
    <x:row r="8">
      <x:c r="A8" s="81" t="n">
        <x:v>4</x:v>
      </x:c>
      <x:c r="B8" s="82" t="str">
        <x:v>DMOM1003 Keyword</x:v>
      </x:c>
      <x:c r="C8" s="97" t="n">
        <x:v>20</x:v>
      </x:c>
      <x:c r="D8" s="83" t="str">
        <x:v>Day14≥3单、ROAS≥4×、库存节点确认</x:v>
      </x:c>
    </x:row>
    <x:row r="9">
      <x:c r="A9" s="84" t="n">
        <x:v>5</x:v>
      </x:c>
      <x:c r="B9" s="85" t="str">
        <x:v>DMOM1021 Product</x:v>
      </x:c>
      <x:c r="C9" s="98" t="n">
        <x:v>10</x:v>
      </x:c>
      <x:c r="D9" s="86" t="str">
        <x:v>Day14 ROAS≥4×、B2B保持高效</x:v>
      </x:c>
    </x:row>
    <x:row r="10">
      <x:c r="A10" s="69"/>
      <x:c r="B10" s="69"/>
      <x:c r="C10" s="99"/>
      <x:c r="D10" s="69"/>
    </x:row>
    <x:row r="11">
      <x:c r="A11" s="69"/>
      <x:c r="B11" s="69"/>
      <x:c r="C11" s="99"/>
      <x:c r="D11" s="69"/>
    </x:row>
    <x:row r="12">
      <x:c r="A12" s="69"/>
      <x:c r="B12" s="69"/>
      <x:c r="C12" s="99"/>
      <x:c r="D12" s="69"/>
    </x:row>
    <x:row r="13">
      <x:c r="A13" s="69"/>
      <x:c r="B13" s="69"/>
      <x:c r="C13" s="99"/>
      <x:c r="D13" s="69"/>
    </x:row>
    <x:row r="14">
      <x:c r="A14" s="69"/>
      <x:c r="B14" s="69"/>
      <x:c r="C14" s="99"/>
      <x:c r="D14" s="69"/>
    </x:row>
    <x:row r="15">
      <x:c r="A15" s="69"/>
      <x:c r="B15" s="69"/>
      <x:c r="C15" s="99"/>
      <x:c r="D15" s="69"/>
    </x:row>
    <x:row r="16">
      <x:c r="A16" s="69"/>
      <x:c r="B16" s="69"/>
      <x:c r="C16" s="99"/>
      <x:c r="D16" s="69"/>
    </x:row>
    <x:row r="17">
      <x:c r="A17" s="69"/>
      <x:c r="B17" s="69"/>
      <x:c r="C17" s="99"/>
      <x:c r="D17" s="69"/>
    </x:row>
    <x:row r="18">
      <x:c r="A18" s="69"/>
      <x:c r="B18" s="69"/>
      <x:c r="C18" s="99"/>
      <x:c r="D18" s="69"/>
    </x:row>
    <x:row r="19">
      <x:c r="A19" s="69"/>
      <x:c r="B19" s="69"/>
      <x:c r="C19" s="99"/>
      <x:c r="D19" s="69"/>
    </x:row>
    <x:row r="20">
      <x:c r="A20" s="69"/>
      <x:c r="B20" s="69"/>
      <x:c r="C20" s="99"/>
      <x:c r="D20" s="69"/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603f3f3fc5748da"/>
  </x:tableParts>
</x:worksheet>
</file>