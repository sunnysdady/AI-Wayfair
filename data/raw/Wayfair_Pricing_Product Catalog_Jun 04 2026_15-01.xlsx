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ic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0"/>
    </font>
    <font>
      <name val="Calibri"/>
      <i val="1"/>
      <color rgb="00000000"/>
      <sz val="8"/>
    </font>
    <font>
      <name val="Calibri"/>
      <color rgb="00000000"/>
      <sz val="8"/>
    </font>
    <font>
      <name val="Calibri"/>
      <b val="1"/>
      <color rgb="FFFFFFFF"/>
      <sz val="12"/>
    </font>
    <font>
      <name val="Calibri"/>
      <b val="1"/>
      <sz val="12"/>
    </font>
    <font/>
    <font>
      <name val="Calibri"/>
      <sz val="11"/>
    </font>
    <font>
      <name val="Calibri"/>
      <b val="1"/>
      <sz val="11"/>
    </font>
    <font>
      <name val="Calibri"/>
      <family val="2"/>
      <color theme="10"/>
      <sz val="12"/>
      <scheme val="minor"/>
    </font>
    <font>
      <name val="Calibri"/>
      <b val="1"/>
      <color rgb="000563C1"/>
      <u val="single"/>
    </font>
    <font>
      <name val="Calibri"/>
      <i val="1"/>
      <color rgb="66666600"/>
      <sz val="10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E599"/>
        <bgColor rgb="00FFE599"/>
      </patternFill>
    </fill>
    <fill>
      <patternFill patternType="solid">
        <fgColor rgb="00FFF2CC"/>
        <bgColor rgb="00FFF2CC"/>
      </patternFill>
    </fill>
    <fill>
      <patternFill patternType="solid">
        <fgColor rgb="00D9D2E9"/>
        <bgColor rgb="00D9D2E9"/>
      </patternFill>
    </fill>
    <fill>
      <patternFill patternType="solid">
        <fgColor rgb="00D5A6BD"/>
        <bgColor rgb="00D5A6BD"/>
      </patternFill>
    </fill>
    <fill>
      <patternFill patternType="solid">
        <fgColor rgb="00EAD1DC"/>
        <bgColor rgb="00EAD1DC"/>
      </patternFill>
    </fill>
    <fill>
      <patternFill patternType="solid">
        <fgColor rgb="00D9EAD3"/>
        <bgColor rgb="00D9EAD3"/>
      </patternFill>
    </fill>
    <fill>
      <patternFill patternType="solid">
        <fgColor rgb="00B6D7A8"/>
        <bgColor rgb="00B6D7A8"/>
      </patternFill>
    </fill>
    <fill>
      <patternFill patternType="solid">
        <fgColor rgb="007030a0"/>
        <bgColor rgb="007030a0"/>
      </patternFill>
    </fill>
    <fill>
      <patternFill patternType="solid">
        <fgColor rgb="00385623"/>
        <bgColor rgb="00385623"/>
      </patternFill>
    </fill>
    <fill>
      <patternFill patternType="solid">
        <fgColor rgb="00E7E6E6"/>
        <bgColor rgb="00E7E6E6"/>
      </patternFill>
    </fill>
    <fill>
      <patternFill patternType="solid">
        <fgColor rgb="00D9E2F3"/>
        <bgColor rgb="00D9E2F3"/>
      </patternFill>
    </fill>
  </fills>
  <borders count="11">
    <border>
      <left/>
      <right/>
      <top/>
      <bottom/>
      <diagonal/>
    </border>
    <border/>
    <border>
      <left style="thin">
        <color rgb="00E7E6E6"/>
      </left>
      <right style="thin">
        <color rgb="00E7E6E6"/>
      </right>
      <top style="thin">
        <color rgb="00E7E6E6"/>
      </top>
      <bottom style="thin">
        <color rgb="00E7E6E6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E7E6E6"/>
      </right>
      <top style="thick">
        <color rgb="00000000"/>
      </top>
      <bottom style="thick">
        <color rgb="00000000"/>
      </bottom>
    </border>
    <border>
      <left style="thin">
        <color rgb="00E7E6E6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E7E6E6"/>
      </right>
      <top style="thin">
        <color rgb="00E7E6E6"/>
      </top>
      <bottom style="thin">
        <color rgb="00E7E6E6"/>
      </bottom>
    </border>
    <border>
      <left style="thin">
        <color rgb="00FFFFFF"/>
      </left>
      <right style="thin">
        <color rgb="00FFFFFF"/>
      </right>
      <top style="thin">
        <color rgb="00000000"/>
      </top>
      <bottom style="thin">
        <color rgb="00FFFFFF"/>
      </bottom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C7C7C7"/>
      </left>
      <right style="thin">
        <color rgb="00C7C7C7"/>
      </right>
      <top style="thin">
        <color rgb="00C7C7C7"/>
      </top>
      <bottom style="thin">
        <color rgb="00C7C7C7"/>
      </bottom>
    </border>
  </borders>
  <cellStyleXfs count="8">
    <xf numFmtId="0" fontId="0" fillId="0" borderId="0"/>
    <xf numFmtId="0" fontId="5" fillId="12" borderId="2"/>
    <xf numFmtId="0" fontId="6" fillId="0" borderId="3"/>
    <xf numFmtId="0" fontId="6" fillId="12" borderId="4"/>
    <xf numFmtId="0" fontId="7" fillId="0" borderId="3"/>
    <xf numFmtId="0" fontId="7" fillId="13" borderId="4"/>
    <xf numFmtId="0" fontId="8" fillId="0" borderId="3"/>
    <xf numFmtId="0" fontId="9" fillId="0" borderId="0"/>
  </cellStyleXfs>
  <cellXfs count="32">
    <xf numFmtId="0" fontId="0" fillId="0" borderId="0" pivotButton="0" quotePrefix="0" xfId="0"/>
    <xf numFmtId="0" fontId="4" fillId="10" borderId="0" applyAlignment="1" pivotButton="0" quotePrefix="0" xfId="0">
      <alignment horizontal="left" vertical="center" wrapText="1"/>
    </xf>
    <xf numFmtId="0" fontId="4" fillId="11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5" fillId="12" borderId="2" applyAlignment="1" pivotButton="0" quotePrefix="0" xfId="1">
      <alignment wrapText="1"/>
    </xf>
    <xf numFmtId="0" fontId="6" fillId="0" borderId="3" applyAlignment="1" pivotButton="0" quotePrefix="0" xfId="2">
      <alignment wrapText="1"/>
    </xf>
    <xf numFmtId="0" fontId="6" fillId="12" borderId="2" applyAlignment="1" pivotButton="0" quotePrefix="0" xfId="3">
      <alignment wrapText="1"/>
    </xf>
    <xf numFmtId="0" fontId="6" fillId="0" borderId="2" applyAlignment="1" pivotButton="0" quotePrefix="0" xfId="2">
      <alignment wrapText="1"/>
    </xf>
    <xf numFmtId="0" fontId="7" fillId="0" borderId="3" applyAlignment="1" pivotButton="0" quotePrefix="0" xfId="4">
      <alignment wrapText="1"/>
    </xf>
    <xf numFmtId="0" fontId="5" fillId="12" borderId="5" applyAlignment="1" pivotButton="0" quotePrefix="0" xfId="1">
      <alignment wrapText="1"/>
    </xf>
    <xf numFmtId="0" fontId="6" fillId="12" borderId="6" applyAlignment="1" pivotButton="0" quotePrefix="0" xfId="3">
      <alignment wrapText="1"/>
    </xf>
    <xf numFmtId="0" fontId="7" fillId="13" borderId="4" applyAlignment="1" pivotButton="0" quotePrefix="0" xfId="5">
      <alignment wrapText="1"/>
    </xf>
    <xf numFmtId="0" fontId="7" fillId="0" borderId="4" applyAlignment="1" pivotButton="0" quotePrefix="0" xfId="4">
      <alignment wrapText="1"/>
    </xf>
    <xf numFmtId="0" fontId="6" fillId="0" borderId="7" applyAlignment="1" pivotButton="0" quotePrefix="0" xfId="2">
      <alignment wrapText="1"/>
    </xf>
    <xf numFmtId="0" fontId="6" fillId="12" borderId="4" applyAlignment="1" pivotButton="0" quotePrefix="0" xfId="3">
      <alignment wrapText="1"/>
    </xf>
    <xf numFmtId="0" fontId="8" fillId="0" borderId="3" applyAlignment="1" pivotButton="0" quotePrefix="0" xfId="6">
      <alignment wrapText="1"/>
    </xf>
    <xf numFmtId="0" fontId="6" fillId="0" borderId="8" applyAlignment="1" pivotButton="0" quotePrefix="0" xfId="2">
      <alignment wrapText="1"/>
    </xf>
    <xf numFmtId="0" fontId="5" fillId="12" borderId="9" applyAlignment="1" pivotButton="0" quotePrefix="0" xfId="1">
      <alignment wrapText="1"/>
    </xf>
    <xf numFmtId="0" fontId="7" fillId="4" borderId="4" applyAlignment="1" pivotButton="0" quotePrefix="0" xfId="4">
      <alignment wrapText="1"/>
    </xf>
    <xf numFmtId="0" fontId="7" fillId="6" borderId="4" applyAlignment="1" pivotButton="0" quotePrefix="0" xfId="4">
      <alignment wrapText="1"/>
    </xf>
    <xf numFmtId="0" fontId="7" fillId="5" borderId="4" applyAlignment="1" pivotButton="0" quotePrefix="0" xfId="4">
      <alignment wrapText="1"/>
    </xf>
    <xf numFmtId="0" fontId="7" fillId="8" borderId="4" applyAlignment="1" pivotButton="0" quotePrefix="0" xfId="4">
      <alignment wrapText="1"/>
    </xf>
    <xf numFmtId="0" fontId="11" fillId="12" borderId="10" applyAlignment="1" pivotButton="0" quotePrefix="0" xfId="0">
      <alignment vertical="center" wrapText="1"/>
    </xf>
  </cellXfs>
  <cellStyles count="8">
    <cellStyle name="Normal" xfId="0" builtinId="0" hidden="0"/>
    <cellStyle name="instructions_header_style" xfId="1" hidden="0"/>
    <cellStyle name="instructions_no_text_style" xfId="2" hidden="0"/>
    <cellStyle name="instructions_grey_fill_style" xfId="3" hidden="0"/>
    <cellStyle name="instructions_text_style" xfId="4" hidden="0"/>
    <cellStyle name="instructions_blue_fill_style" xfId="5" hidden="0"/>
    <cellStyle name="instructions_bold_text_style" xfId="6" hidden="0"/>
    <cellStyle name="Hyperlink" xfId="7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31.3" customWidth="1" min="1" max="1"/>
    <col width="1.5" customWidth="1" min="2" max="2"/>
    <col width="31" customWidth="1" min="3" max="3"/>
    <col width="92" customWidth="1" min="4" max="4"/>
  </cols>
  <sheetData>
    <row r="1">
      <c r="A1" s="13" t="inlineStr">
        <is>
          <t>Purpose</t>
        </is>
      </c>
      <c r="B1" s="14" t="inlineStr"/>
      <c r="C1" s="13" t="inlineStr">
        <is>
          <t>Legends</t>
        </is>
      </c>
      <c r="D1" s="15" t="inlineStr"/>
      <c r="E1" s="16" t="inlineStr"/>
    </row>
    <row r="2">
      <c r="A2" s="17" t="inlineStr">
        <is>
          <t xml:space="preserve">Use this spreadsheet to review and/or edit the pricing, discounts percentages and quantities on the Products in bulk </t>
        </is>
      </c>
      <c r="B2" s="14" t="inlineStr"/>
      <c r="C2" s="14" t="inlineStr"/>
      <c r="D2" s="14" t="inlineStr"/>
      <c r="E2" s="16" t="inlineStr"/>
    </row>
    <row r="3">
      <c r="A3" s="17" t="inlineStr">
        <is>
          <t xml:space="preserve">   Editing products? Once complete, import this spreadsheet into Partner Home to update your products' Pricing on Wayfair. </t>
        </is>
      </c>
      <c r="B3" s="14" t="inlineStr"/>
      <c r="C3" s="18" t="inlineStr">
        <is>
          <t>Cell fill colors</t>
        </is>
      </c>
      <c r="D3" s="19" t="inlineStr"/>
      <c r="E3" s="16" t="inlineStr"/>
    </row>
    <row r="4">
      <c r="A4" s="14" t="inlineStr"/>
      <c r="B4" s="14" t="inlineStr"/>
      <c r="C4" s="20" t="inlineStr">
        <is>
          <t>Blue</t>
        </is>
      </c>
      <c r="D4" s="21" t="inlineStr">
        <is>
          <t>Update suggested by Wayfair (review needed)</t>
        </is>
      </c>
      <c r="E4" s="22" t="inlineStr"/>
    </row>
    <row r="5">
      <c r="A5" s="14" t="inlineStr"/>
      <c r="B5" s="14" t="inlineStr"/>
      <c r="C5" s="23" t="inlineStr">
        <is>
          <t>Gray</t>
        </is>
      </c>
      <c r="D5" s="21" t="inlineStr">
        <is>
          <t>Data is pre-filled or in review (not editable)</t>
        </is>
      </c>
      <c r="E5" s="22" t="inlineStr"/>
    </row>
    <row r="6">
      <c r="A6" s="13" t="inlineStr">
        <is>
          <t>Instructions</t>
        </is>
      </c>
      <c r="B6" s="14" t="inlineStr"/>
      <c r="C6" s="21" t="inlineStr">
        <is>
          <t>No fill (blank cell)</t>
        </is>
      </c>
      <c r="D6" s="21" t="inlineStr">
        <is>
          <t>Missing recommended or optional Pricing data</t>
        </is>
      </c>
      <c r="E6" s="22" t="inlineStr"/>
    </row>
    <row r="7">
      <c r="A7" s="24" t="inlineStr">
        <is>
          <t>1. Navigate to the Pricing Tab to view a comprehensive list of products in your catalog, each accompanied by unique identifiers (Supplier Part Number &amp; SKU)</t>
        </is>
      </c>
      <c r="B7" s="14" t="inlineStr"/>
      <c r="C7" s="25" t="inlineStr"/>
      <c r="D7" s="25" t="inlineStr"/>
      <c r="E7" s="16" t="inlineStr"/>
    </row>
    <row r="8">
      <c r="A8" s="24" t="inlineStr">
        <is>
          <t xml:space="preserve">2. Update Pricing for the products in your catalog </t>
        </is>
      </c>
      <c r="B8" s="14" t="inlineStr"/>
      <c r="C8" s="14" t="inlineStr"/>
      <c r="D8" s="14" t="inlineStr"/>
      <c r="E8" s="16" t="inlineStr"/>
    </row>
    <row r="9">
      <c r="A9" s="24" t="inlineStr">
        <is>
          <t xml:space="preserve">3. While making additions or edits: </t>
        </is>
      </c>
      <c r="B9" s="14" t="inlineStr"/>
      <c r="C9" s="18" t="inlineStr">
        <is>
          <t>Pricing data type</t>
        </is>
      </c>
      <c r="D9" s="19" t="inlineStr"/>
      <c r="E9" s="16" t="inlineStr"/>
    </row>
    <row r="10">
      <c r="A10" s="17" t="inlineStr">
        <is>
          <t xml:space="preserve">      ◦ Make sure to align with value input rules defined for each columns </t>
        </is>
      </c>
      <c r="B10" s="14" t="inlineStr"/>
      <c r="C10" s="21" t="inlineStr">
        <is>
          <t>Integer</t>
        </is>
      </c>
      <c r="D10" s="21" t="inlineStr">
        <is>
          <t>Enter an integer (whole number) numeric response.</t>
        </is>
      </c>
      <c r="E10" s="22" t="inlineStr"/>
    </row>
    <row r="11">
      <c r="A11" s="17" t="inlineStr">
        <is>
          <t xml:space="preserve">      ◦ Do not make any edits to the columns which are greyed out and marked as 'Pre-filled (do not edit)' </t>
        </is>
      </c>
      <c r="B11" s="14" t="inlineStr"/>
      <c r="C11" s="21" t="inlineStr">
        <is>
          <t>Decimal</t>
        </is>
      </c>
      <c r="D11" s="21" t="inlineStr">
        <is>
          <t>Enter a decimal numeric response with up to 2 decimal points.</t>
        </is>
      </c>
      <c r="E11" s="22" t="inlineStr"/>
    </row>
    <row r="12">
      <c r="A12" s="17" t="inlineStr">
        <is>
          <t xml:space="preserve">      ◦  Do not make any edits to the title of the column</t>
        </is>
      </c>
      <c r="B12" s="14" t="inlineStr"/>
      <c r="C12" s="25" t="inlineStr"/>
      <c r="D12" s="25" t="inlineStr"/>
      <c r="E12" s="16" t="inlineStr"/>
    </row>
    <row r="13">
      <c r="A13" s="17" t="inlineStr">
        <is>
          <t xml:space="preserve">      ◦  Leave the cell blank  if no changes are needed or if the item holds no value in connection to the column's subject.</t>
        </is>
      </c>
      <c r="B13" s="14" t="inlineStr"/>
      <c r="C13" s="14" t="inlineStr"/>
      <c r="D13" s="14" t="inlineStr"/>
      <c r="E13" s="16" t="inlineStr"/>
    </row>
    <row r="14">
      <c r="A14" s="24" t="inlineStr">
        <is>
          <t xml:space="preserve">4. Save your work as you go. </t>
        </is>
      </c>
      <c r="B14" s="14" t="inlineStr"/>
      <c r="C14" s="26" t="inlineStr">
        <is>
          <t>Pricing Details Color Codes</t>
        </is>
      </c>
      <c r="D14" s="14" t="inlineStr"/>
      <c r="E14" s="16" t="inlineStr"/>
    </row>
    <row r="15">
      <c r="A15" s="24" t="inlineStr">
        <is>
          <t xml:space="preserve">5. Once complete, save your workbook to your computer. </t>
        </is>
      </c>
      <c r="B15" s="14" t="inlineStr"/>
      <c r="C15" s="27">
        <f>HYPERLINK("#'Pricing'!C2", "Cost Change Pricing Details")</f>
        <v/>
      </c>
      <c r="D15" s="22" t="inlineStr"/>
      <c r="E15" s="16" t="inlineStr"/>
    </row>
    <row r="16">
      <c r="A16" s="24" t="inlineStr">
        <is>
          <t>6. Within Partner Home, navigate to Pricing Home and Import this sheet while scheduling pricing changes in different workflows (Cost Changes, B2B Discounts, Closeouts &amp; CastleGate Markdowns)</t>
        </is>
      </c>
      <c r="B16" s="14" t="inlineStr"/>
      <c r="C16" s="28">
        <f>HYPERLINK("#'Pricing'.M2", "B2B Everyday &amp; Quantity Discount Pricing")</f>
        <v/>
      </c>
      <c r="D16" s="22" t="inlineStr"/>
      <c r="E16" s="16" t="inlineStr"/>
    </row>
    <row r="17">
      <c r="A17" s="14" t="inlineStr"/>
      <c r="B17" s="14" t="inlineStr"/>
      <c r="C17" s="29">
        <f>HYPERLINK("#'Pricing'.T2", "Closeout Pricing")</f>
        <v/>
      </c>
      <c r="D17" s="22" t="inlineStr"/>
      <c r="E17" s="16" t="inlineStr"/>
    </row>
    <row r="18">
      <c r="A18" s="14" t="inlineStr"/>
      <c r="B18" s="14" t="inlineStr"/>
      <c r="C18" s="30">
        <f>HYPERLINK("#'Pricing'.W2", "CastleGate Markdown Pricing")</f>
        <v/>
      </c>
      <c r="D18" s="22" t="inlineStr"/>
      <c r="E18" s="16" t="inlineStr"/>
    </row>
    <row r="19">
      <c r="A19" s="14" t="inlineStr"/>
      <c r="B19" s="14" t="inlineStr"/>
      <c r="C19" s="25" t="inlineStr"/>
      <c r="D19" s="14" t="inlineStr"/>
      <c r="E19" s="16" t="inlineStr"/>
    </row>
    <row r="20">
      <c r="A20" s="16" t="inlineStr"/>
      <c r="B20" s="16" t="inlineStr"/>
      <c r="C20" s="16" t="inlineStr"/>
      <c r="D20" s="16" t="inlineStr"/>
      <c r="E20" s="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35555555555555" customWidth="1" min="1" max="1"/>
    <col width="19.93333333333333" customWidth="1" min="2" max="2"/>
    <col width="19.93333333333333" customWidth="1" min="3" max="3"/>
    <col width="36.68888888888888" customWidth="1" min="4" max="4"/>
    <col width="36.68888888888888" customWidth="1" min="5" max="5"/>
    <col width="36.68888888888888" customWidth="1" min="6" max="6"/>
    <col width="36.68888888888888" customWidth="1" min="7" max="7"/>
    <col width="36.68888888888888" customWidth="1" min="8" max="8"/>
    <col width="36.68888888888888" customWidth="1" min="9" max="9"/>
    <col width="36.68888888888888" customWidth="1" min="10" max="10"/>
    <col width="36.68888888888888" customWidth="1" min="11" max="11"/>
    <col width="36.68888888888888" customWidth="1" min="12" max="12"/>
    <col width="36.68888888888888" customWidth="1" min="13" max="13"/>
    <col width="36.68888888888888" customWidth="1" min="14" max="14"/>
    <col width="36.68888888888888" customWidth="1" min="15" max="15"/>
    <col width="36.68888888888888" customWidth="1" min="16" max="16"/>
    <col width="36.68888888888888" customWidth="1" min="17" max="17"/>
    <col width="36.68888888888888" customWidth="1" min="18" max="18"/>
    <col width="36.68888888888888" customWidth="1" min="19" max="19"/>
    <col width="36.68888888888888" customWidth="1" min="20" max="20"/>
    <col width="36.68888888888888" customWidth="1" min="21" max="21"/>
    <col width="36.68888888888888" customWidth="1" min="22" max="22"/>
    <col width="36.68888888888888" customWidth="1" min="23" max="23"/>
    <col width="36.68888888888888" customWidth="1" min="24" max="24"/>
    <col width="36.68888888888888" customWidth="1" min="25" max="25"/>
    <col width="36.68888888888888" customWidth="1" min="26" max="26"/>
    <col width="36.68888888888888" customWidth="1" min="27" max="27"/>
  </cols>
  <sheetData>
    <row r="1" ht="18" customHeight="1">
      <c r="A1" s="1" t="inlineStr">
        <is>
          <t>Product Details</t>
        </is>
      </c>
      <c r="B1" s="1" t="inlineStr"/>
      <c r="C1" s="1" t="inlineStr"/>
      <c r="D1" s="2" t="inlineStr">
        <is>
          <t>Pricing Details</t>
        </is>
      </c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</row>
    <row r="2" hidden="1">
      <c r="A2" t="inlineStr">
        <is>
          <t>SupplierPartNumber</t>
        </is>
      </c>
      <c r="B2" t="inlineStr">
        <is>
          <t>Status</t>
        </is>
      </c>
      <c r="C2" t="inlineStr">
        <is>
          <t>skus</t>
        </is>
      </c>
      <c r="D2" t="inlineStr">
        <is>
          <t>CurrentBaseCost</t>
        </is>
      </c>
      <c r="E2" t="inlineStr">
        <is>
          <t>BaseCost</t>
        </is>
      </c>
      <c r="F2" t="inlineStr">
        <is>
          <t>CloseoutDiscountPercent</t>
        </is>
      </c>
      <c r="G2" t="inlineStr">
        <is>
          <t>CloseoutDiscountBaseCost</t>
        </is>
      </c>
      <c r="H2" t="inlineStr">
        <is>
          <t>CloseoutMap</t>
        </is>
      </c>
      <c r="I2" t="inlineStr">
        <is>
          <t>CurrentB2bDiscountPercent</t>
        </is>
      </c>
      <c r="J2" t="inlineStr">
        <is>
          <t>B2bDiscountPercent</t>
        </is>
      </c>
      <c r="K2" t="inlineStr">
        <is>
          <t>B2bDiscountBaseCost</t>
        </is>
      </c>
      <c r="L2" t="inlineStr">
        <is>
          <t>CurrentB2bTieredDiscountAdditionalPercent</t>
        </is>
      </c>
      <c r="M2" t="inlineStr">
        <is>
          <t>NewB2bTieredDiscountAdditionalPercent</t>
        </is>
      </c>
      <c r="N2" t="inlineStr">
        <is>
          <t>CurrentB2bTieredDiscountQuantity</t>
        </is>
      </c>
      <c r="O2" t="inlineStr">
        <is>
          <t>NewB2bTieredDiscountQuantity</t>
        </is>
      </c>
      <c r="P2" t="inlineStr">
        <is>
          <t>CurrentMapUSD</t>
        </is>
      </c>
      <c r="Q2" t="inlineStr">
        <is>
          <t>NewMapUSD</t>
        </is>
      </c>
      <c r="R2" t="inlineStr">
        <is>
          <t>CurrentMsrpUSD</t>
        </is>
      </c>
      <c r="S2" t="inlineStr">
        <is>
          <t>NewMsrpUSD</t>
        </is>
      </c>
      <c r="T2" t="inlineStr">
        <is>
          <t>CurrentMapCAD</t>
        </is>
      </c>
      <c r="U2" t="inlineStr">
        <is>
          <t>NewMapCAD</t>
        </is>
      </c>
      <c r="V2" t="inlineStr">
        <is>
          <t>CurrentMsrpCAD</t>
        </is>
      </c>
      <c r="W2" t="inlineStr">
        <is>
          <t>NewMsrpCAD</t>
        </is>
      </c>
      <c r="X2" t="inlineStr">
        <is>
          <t>CastlegateTargetQuantity</t>
        </is>
      </c>
      <c r="Y2" t="inlineStr">
        <is>
          <t>CastlegateMarkdownDiscountPercent</t>
        </is>
      </c>
      <c r="Z2" t="inlineStr">
        <is>
          <t>CastlegateMarkdownMap</t>
        </is>
      </c>
      <c r="AA2" t="inlineStr">
        <is>
          <t>CastlegateInventory</t>
        </is>
      </c>
    </row>
    <row r="3" ht="15" customHeight="1">
      <c r="A3" s="3" t="inlineStr">
        <is>
          <t>Supplier Part Number</t>
        </is>
      </c>
      <c r="B3" s="3" t="inlineStr">
        <is>
          <t>Status</t>
        </is>
      </c>
      <c r="C3" s="3" t="inlineStr">
        <is>
          <t>SKU</t>
        </is>
      </c>
      <c r="D3" s="4" t="inlineStr">
        <is>
          <t>Current Base Cost</t>
        </is>
      </c>
      <c r="E3" s="5" t="inlineStr">
        <is>
          <t>New Base Cost</t>
        </is>
      </c>
      <c r="F3" s="6" t="inlineStr">
        <is>
          <t>Closeout (%)</t>
        </is>
      </c>
      <c r="G3" s="6" t="inlineStr">
        <is>
          <t>Closeout (USD)</t>
        </is>
      </c>
      <c r="H3" s="6" t="inlineStr">
        <is>
          <t>Closeout MAP (USD)</t>
        </is>
      </c>
      <c r="I3" s="7" t="inlineStr">
        <is>
          <t>B2B Everyday Discount: Current %</t>
        </is>
      </c>
      <c r="J3" s="8" t="inlineStr">
        <is>
          <t>B2B Everyday Discount: New % (USD)</t>
        </is>
      </c>
      <c r="K3" s="8" t="inlineStr">
        <is>
          <t>B2B Everyday Discount: New Base Cost (USD)</t>
        </is>
      </c>
      <c r="L3" s="7" t="inlineStr">
        <is>
          <t>B2B Quantity Discount: Current %</t>
        </is>
      </c>
      <c r="M3" s="8" t="inlineStr">
        <is>
          <t>B2B Quantity Discount: New %</t>
        </is>
      </c>
      <c r="N3" s="7" t="inlineStr">
        <is>
          <t>B2B Quantity Discount: Current Min. Qty.</t>
        </is>
      </c>
      <c r="O3" s="8" t="inlineStr">
        <is>
          <t>B2B Quantity Discount: New Min. Qty.</t>
        </is>
      </c>
      <c r="P3" s="4" t="inlineStr">
        <is>
          <t>Current MAP (USD)</t>
        </is>
      </c>
      <c r="Q3" s="5" t="inlineStr">
        <is>
          <t>New MAP (USD)</t>
        </is>
      </c>
      <c r="R3" s="4" t="inlineStr">
        <is>
          <t>Current MSRP (USD)</t>
        </is>
      </c>
      <c r="S3" s="5" t="inlineStr">
        <is>
          <t>New MSRP (USD)</t>
        </is>
      </c>
      <c r="T3" s="4" t="inlineStr">
        <is>
          <t>Current MAP (CAD)</t>
        </is>
      </c>
      <c r="U3" s="5" t="inlineStr">
        <is>
          <t>New MAP (CAD)</t>
        </is>
      </c>
      <c r="V3" s="4" t="inlineStr">
        <is>
          <t>Current MSRP (CAD)</t>
        </is>
      </c>
      <c r="W3" s="5" t="inlineStr">
        <is>
          <t>New MSRP (CAD)</t>
        </is>
      </c>
      <c r="X3" s="9" t="inlineStr">
        <is>
          <t>Target CastleGate In Stock Quantity</t>
        </is>
      </c>
      <c r="Y3" s="9" t="inlineStr">
        <is>
          <t>CG Markdown Discount %</t>
        </is>
      </c>
      <c r="Z3" s="9" t="inlineStr">
        <is>
          <t>CG Markdown Promotional MAP</t>
        </is>
      </c>
      <c r="AA3" s="10" t="inlineStr">
        <is>
          <t>Current CastleGate In Stock Quantity</t>
        </is>
      </c>
    </row>
    <row r="4" ht="39.75" customHeight="1">
      <c r="A4" s="11" t="inlineStr">
        <is>
          <t>Pre-filled (do not edit)</t>
        </is>
      </c>
      <c r="B4" s="11" t="inlineStr">
        <is>
          <t>Pre-filled (do not edit)</t>
        </is>
      </c>
      <c r="C4" s="11" t="inlineStr">
        <is>
          <t>Pre-filled (do not edit)</t>
        </is>
      </c>
      <c r="D4" s="11" t="inlineStr">
        <is>
          <t>Pre-filled (do not edit)</t>
        </is>
      </c>
      <c r="E4" s="12" t="inlineStr">
        <is>
          <t>Enter a numerical value, allowing up to two decimal points.</t>
        </is>
      </c>
      <c r="F4" s="12" t="inlineStr">
        <is>
          <t>Enter a numerical value to indicate the discount percentage</t>
        </is>
      </c>
      <c r="G4" s="12" t="inlineStr">
        <is>
          <t>Enter a numerical value, allowing up to two decimal points. The dollar sign is not required.</t>
        </is>
      </c>
      <c r="H4" s="12" t="inlineStr">
        <is>
          <t>Enter a numerical value, allowing up to two decimal points. The dollar sign is not required.</t>
        </is>
      </c>
      <c r="I4" s="11" t="inlineStr">
        <is>
          <t>Pre-filled (do not edit)</t>
        </is>
      </c>
      <c r="J4" s="12" t="inlineStr">
        <is>
          <t>Enter a numerical value to indicate the discount percentage.</t>
        </is>
      </c>
      <c r="K4" s="12" t="inlineStr">
        <is>
          <t>Enter a numerical value, allowing up to two decimal points. The dollar sign is not required.</t>
        </is>
      </c>
      <c r="L4" s="11" t="inlineStr">
        <is>
          <t>Pre-filled (do not edit)</t>
        </is>
      </c>
      <c r="M4" s="12" t="inlineStr">
        <is>
          <t>Enter a numerical value to indicate the discount percentage.</t>
        </is>
      </c>
      <c r="N4" s="11" t="inlineStr">
        <is>
          <t>Pre-filled (do not edit)</t>
        </is>
      </c>
      <c r="O4" s="12" t="inlineStr">
        <is>
          <t>Enter a numerical value (a whole number) in the cells below to indicate the minimum quantity.</t>
        </is>
      </c>
      <c r="P4" s="11" t="inlineStr">
        <is>
          <t>Pre-filled (do not edit)</t>
        </is>
      </c>
      <c r="Q4" s="12" t="inlineStr">
        <is>
          <t>Enter a numerical value, allowing up to two decimal points. The dollar sign is not required.</t>
        </is>
      </c>
      <c r="R4" s="11" t="inlineStr">
        <is>
          <t>Pre-filled (do not edit)</t>
        </is>
      </c>
      <c r="S4" s="12" t="inlineStr">
        <is>
          <t>Enter a numerical value, allowing up to two decimal points. The dollar sign is not required.</t>
        </is>
      </c>
      <c r="T4" s="11" t="inlineStr">
        <is>
          <t>Pre-filled (do not edit)</t>
        </is>
      </c>
      <c r="U4" s="12" t="inlineStr">
        <is>
          <t>Enter a numerical value, allowing up to two decimal points. The dollar sign is not required.</t>
        </is>
      </c>
      <c r="V4" s="11" t="inlineStr">
        <is>
          <t>Pre-filled (do not edit)</t>
        </is>
      </c>
      <c r="W4" s="11" t="inlineStr">
        <is>
          <t>Enter a numerical value, allowing up to two decimal points. The dollar sign is not required.</t>
        </is>
      </c>
      <c r="X4" s="12" t="inlineStr">
        <is>
          <t>Enter a numerical value (a whole number) to indicate the Target Quantity</t>
        </is>
      </c>
      <c r="Y4" s="12" t="inlineStr">
        <is>
          <t>Enter a numerical value to indicate the discount percentage.</t>
        </is>
      </c>
      <c r="Z4" s="12" t="inlineStr">
        <is>
          <t>Enter a numerical value, allowing up to two decimal points. The dollar sign is not required.</t>
        </is>
      </c>
      <c r="AA4" s="11" t="inlineStr">
        <is>
          <t>Pre-filled (do not edit)</t>
        </is>
      </c>
    </row>
    <row r="5">
      <c r="A5" s="31" t="inlineStr">
        <is>
          <t>5T-1600-800</t>
        </is>
      </c>
      <c r="B5" s="31" t="inlineStr">
        <is>
          <t>Live</t>
        </is>
      </c>
      <c r="C5" s="31" t="inlineStr">
        <is>
          <t>DMOM1000</t>
        </is>
      </c>
      <c r="D5" s="31" t="n">
        <v>85</v>
      </c>
      <c r="H5" t="inlineStr"/>
      <c r="I5" s="31" t="n">
        <v>10</v>
      </c>
      <c r="L5" s="31" t="n"/>
      <c r="N5" s="31" t="n"/>
      <c r="P5" s="31" t="inlineStr"/>
      <c r="R5" s="31" t="n">
        <v>179.99</v>
      </c>
      <c r="T5" s="31" t="inlineStr"/>
      <c r="V5" s="31" t="inlineStr"/>
      <c r="Z5" t="inlineStr"/>
      <c r="AA5" s="31" t="n"/>
    </row>
    <row r="6">
      <c r="A6" s="31" t="inlineStr">
        <is>
          <t>5T-1830-1200</t>
        </is>
      </c>
      <c r="B6" s="31" t="inlineStr">
        <is>
          <t>Live</t>
        </is>
      </c>
      <c r="C6" s="31" t="inlineStr">
        <is>
          <t>DMOM1000</t>
        </is>
      </c>
      <c r="D6" s="31" t="n">
        <v>140</v>
      </c>
      <c r="H6" t="inlineStr"/>
      <c r="I6" s="31" t="n">
        <v>10</v>
      </c>
      <c r="L6" s="31" t="n"/>
      <c r="N6" s="31" t="n"/>
      <c r="P6" s="31" t="inlineStr"/>
      <c r="R6" s="31" t="n">
        <v>259.99</v>
      </c>
      <c r="T6" s="31" t="inlineStr"/>
      <c r="V6" s="31" t="inlineStr"/>
      <c r="Z6" t="inlineStr"/>
      <c r="AA6" s="31" t="n"/>
    </row>
    <row r="7">
      <c r="A7" s="31" t="inlineStr">
        <is>
          <t>5T-1830-900</t>
        </is>
      </c>
      <c r="B7" s="31" t="inlineStr">
        <is>
          <t>Live</t>
        </is>
      </c>
      <c r="C7" s="31" t="inlineStr">
        <is>
          <t>DMOM1000</t>
        </is>
      </c>
      <c r="D7" s="31" t="n">
        <v>89</v>
      </c>
      <c r="H7" t="inlineStr"/>
      <c r="I7" s="31" t="n">
        <v>10</v>
      </c>
      <c r="L7" s="31" t="n"/>
      <c r="N7" s="31" t="n"/>
      <c r="P7" s="31" t="inlineStr"/>
      <c r="R7" s="31" t="n">
        <v>199.99</v>
      </c>
      <c r="T7" s="31" t="inlineStr"/>
      <c r="V7" s="31" t="inlineStr"/>
      <c r="Z7" t="inlineStr"/>
      <c r="AA7" s="31" t="n"/>
    </row>
    <row r="8">
      <c r="A8" s="31" t="inlineStr">
        <is>
          <t>5T-1980-1200</t>
        </is>
      </c>
      <c r="B8" s="31" t="inlineStr">
        <is>
          <t>Live</t>
        </is>
      </c>
      <c r="C8" s="31" t="inlineStr">
        <is>
          <t>DMOM1000</t>
        </is>
      </c>
      <c r="D8" s="31" t="n">
        <v>120</v>
      </c>
      <c r="H8" t="inlineStr"/>
      <c r="I8" s="31" t="n">
        <v>10</v>
      </c>
      <c r="L8" s="31" t="n"/>
      <c r="N8" s="31" t="n"/>
      <c r="P8" s="31" t="inlineStr"/>
      <c r="R8" s="31" t="n">
        <v>229.99</v>
      </c>
      <c r="T8" s="31" t="inlineStr"/>
      <c r="V8" s="31" t="inlineStr"/>
      <c r="Z8" t="inlineStr"/>
      <c r="AA8" s="31" t="n"/>
    </row>
    <row r="9">
      <c r="A9" s="31" t="inlineStr">
        <is>
          <t>6T-2095-122</t>
        </is>
      </c>
      <c r="B9" s="31" t="inlineStr">
        <is>
          <t>Live</t>
        </is>
      </c>
      <c r="C9" s="31" t="inlineStr">
        <is>
          <t>DMOM1000</t>
        </is>
      </c>
      <c r="D9" s="31" t="n">
        <v>150</v>
      </c>
      <c r="H9" t="inlineStr"/>
      <c r="I9" s="31" t="n">
        <v>10</v>
      </c>
      <c r="L9" s="31" t="n"/>
      <c r="N9" s="31" t="n"/>
      <c r="P9" s="31" t="inlineStr"/>
      <c r="R9" s="31" t="n">
        <v>279.99</v>
      </c>
      <c r="T9" s="31" t="inlineStr"/>
      <c r="V9" s="31" t="inlineStr"/>
      <c r="Z9" t="inlineStr"/>
      <c r="AA9" s="31" t="n"/>
    </row>
    <row r="10">
      <c r="A10" s="31" t="inlineStr">
        <is>
          <t>8T-Kayak</t>
        </is>
      </c>
      <c r="B10" s="31" t="inlineStr">
        <is>
          <t>Live</t>
        </is>
      </c>
      <c r="C10" s="31" t="inlineStr">
        <is>
          <t>DMOM1002</t>
        </is>
      </c>
      <c r="D10" s="31" t="n">
        <v>215</v>
      </c>
      <c r="H10" t="inlineStr"/>
      <c r="I10" s="31" t="n">
        <v>10</v>
      </c>
      <c r="L10" s="31" t="n"/>
      <c r="N10" s="31" t="n"/>
      <c r="P10" s="31" t="inlineStr"/>
      <c r="R10" s="31" t="inlineStr"/>
      <c r="T10" s="31" t="inlineStr"/>
      <c r="V10" s="31" t="inlineStr"/>
      <c r="Z10" t="inlineStr"/>
      <c r="AA10" s="31" t="n"/>
    </row>
    <row r="11">
      <c r="A11" s="31" t="inlineStr">
        <is>
          <t>3T-Kayak</t>
        </is>
      </c>
      <c r="B11" s="31" t="inlineStr">
        <is>
          <t>Live</t>
        </is>
      </c>
      <c r="C11" s="31" t="inlineStr">
        <is>
          <t>DMOM1004</t>
        </is>
      </c>
      <c r="D11" s="31" t="n">
        <v>110</v>
      </c>
      <c r="H11" t="inlineStr"/>
      <c r="I11" s="31" t="n">
        <v>10</v>
      </c>
      <c r="L11" s="31" t="n"/>
      <c r="N11" s="31" t="n"/>
      <c r="P11" s="31" t="inlineStr"/>
      <c r="R11" s="31" t="inlineStr"/>
      <c r="T11" s="31" t="inlineStr"/>
      <c r="V11" s="31" t="inlineStr"/>
      <c r="Z11" t="inlineStr"/>
      <c r="AA11" s="31" t="n"/>
    </row>
    <row r="12">
      <c r="A12" s="31" t="inlineStr">
        <is>
          <t>2T-Kayak</t>
        </is>
      </c>
      <c r="B12" s="31" t="inlineStr">
        <is>
          <t>Live</t>
        </is>
      </c>
      <c r="C12" s="31" t="inlineStr">
        <is>
          <t>DMOM1001</t>
        </is>
      </c>
      <c r="D12" s="31" t="n">
        <v>95</v>
      </c>
      <c r="H12" t="inlineStr"/>
      <c r="I12" s="31" t="n">
        <v>10</v>
      </c>
      <c r="L12" s="31" t="n"/>
      <c r="N12" s="31" t="n"/>
      <c r="P12" s="31" t="inlineStr"/>
      <c r="R12" s="31" t="inlineStr"/>
      <c r="T12" s="31" t="inlineStr"/>
      <c r="V12" s="31" t="inlineStr"/>
      <c r="Z12" t="inlineStr"/>
      <c r="AA12" s="31" t="n"/>
    </row>
    <row r="13">
      <c r="A13" s="31" t="inlineStr">
        <is>
          <t>4T-Kayak</t>
        </is>
      </c>
      <c r="B13" s="31" t="inlineStr">
        <is>
          <t>Live</t>
        </is>
      </c>
      <c r="C13" s="31" t="inlineStr">
        <is>
          <t>DMOM1003</t>
        </is>
      </c>
      <c r="D13" s="31" t="n">
        <v>140</v>
      </c>
      <c r="H13" t="inlineStr"/>
      <c r="I13" s="31" t="n">
        <v>10</v>
      </c>
      <c r="L13" s="31" t="n"/>
      <c r="N13" s="31" t="n"/>
      <c r="P13" s="31" t="inlineStr"/>
      <c r="R13" s="31" t="inlineStr"/>
      <c r="T13" s="31" t="inlineStr"/>
      <c r="V13" s="31" t="inlineStr"/>
      <c r="Z13" t="inlineStr"/>
      <c r="AA13" s="31" t="n"/>
    </row>
    <row r="14">
      <c r="A14" s="31" t="inlineStr">
        <is>
          <t>5T-Niudun</t>
        </is>
      </c>
      <c r="B14" s="31" t="inlineStr">
        <is>
          <t>Live</t>
        </is>
      </c>
      <c r="C14" s="31" t="inlineStr">
        <is>
          <t>DMOM1005</t>
        </is>
      </c>
      <c r="D14" s="31" t="n">
        <v>108</v>
      </c>
      <c r="H14" t="inlineStr"/>
      <c r="I14" s="31" t="n">
        <v>10</v>
      </c>
      <c r="L14" s="31" t="n"/>
      <c r="N14" s="31" t="n"/>
      <c r="P14" s="31" t="inlineStr"/>
      <c r="R14" s="31" t="inlineStr"/>
      <c r="T14" s="31" t="inlineStr"/>
      <c r="V14" s="31" t="inlineStr"/>
      <c r="Z14" t="inlineStr"/>
      <c r="AA14" s="31" t="n"/>
    </row>
    <row r="15">
      <c r="A15" s="31" t="inlineStr">
        <is>
          <t>MK-WB001B</t>
        </is>
      </c>
      <c r="B15" s="31" t="inlineStr">
        <is>
          <t>Live</t>
        </is>
      </c>
      <c r="C15" s="31" t="inlineStr">
        <is>
          <t>DMOM1006</t>
        </is>
      </c>
      <c r="D15" s="31" t="n">
        <v>179.99</v>
      </c>
      <c r="H15" t="inlineStr"/>
      <c r="I15" s="31" t="n">
        <v>10</v>
      </c>
      <c r="L15" s="31" t="n"/>
      <c r="N15" s="31" t="n"/>
      <c r="P15" s="31" t="inlineStr"/>
      <c r="R15" s="31" t="n">
        <v>359.99</v>
      </c>
      <c r="T15" s="31" t="inlineStr"/>
      <c r="V15" s="31" t="inlineStr"/>
      <c r="Z15" t="inlineStr"/>
      <c r="AA15" s="31" t="n"/>
    </row>
    <row r="16">
      <c r="A16" s="31" t="inlineStr">
        <is>
          <t>YB-CW12A0720</t>
        </is>
      </c>
      <c r="B16" s="31" t="inlineStr">
        <is>
          <t>Live</t>
        </is>
      </c>
      <c r="C16" s="31" t="inlineStr">
        <is>
          <t>DMOM1007</t>
        </is>
      </c>
      <c r="D16" s="31" t="n">
        <v>220</v>
      </c>
      <c r="H16" t="inlineStr"/>
      <c r="I16" s="31" t="n">
        <v>10</v>
      </c>
      <c r="L16" s="31" t="n"/>
      <c r="N16" s="31" t="n"/>
      <c r="P16" s="31" t="inlineStr"/>
      <c r="R16" s="31" t="inlineStr"/>
      <c r="T16" s="31" t="inlineStr"/>
      <c r="V16" s="31" t="inlineStr"/>
      <c r="Z16" t="inlineStr"/>
      <c r="AA16" s="31" t="n"/>
    </row>
    <row r="17">
      <c r="A17" s="31" t="inlineStr">
        <is>
          <t>YB-CW12S0768</t>
        </is>
      </c>
      <c r="B17" s="31" t="inlineStr">
        <is>
          <t>Live</t>
        </is>
      </c>
      <c r="C17" s="31" t="inlineStr">
        <is>
          <t>DMOM1008</t>
        </is>
      </c>
      <c r="D17" s="31" t="n">
        <v>28</v>
      </c>
      <c r="H17" t="inlineStr"/>
      <c r="I17" s="31" t="n">
        <v>10</v>
      </c>
      <c r="L17" s="31" t="n"/>
      <c r="N17" s="31" t="n"/>
      <c r="P17" s="31" t="inlineStr"/>
      <c r="R17" s="31" t="inlineStr"/>
      <c r="T17" s="31" t="inlineStr"/>
      <c r="V17" s="31" t="inlineStr"/>
      <c r="Z17" t="inlineStr"/>
      <c r="AA17" s="31" t="n"/>
    </row>
    <row r="18">
      <c r="A18" s="31" t="inlineStr">
        <is>
          <t>YB-MSE3400003</t>
        </is>
      </c>
      <c r="B18" s="31" t="inlineStr">
        <is>
          <t>Live</t>
        </is>
      </c>
      <c r="C18" s="31" t="inlineStr">
        <is>
          <t>DMOM1009</t>
        </is>
      </c>
      <c r="D18" s="31" t="n">
        <v>245</v>
      </c>
      <c r="H18" t="inlineStr"/>
      <c r="I18" s="31" t="n">
        <v>10</v>
      </c>
      <c r="L18" s="31" t="n"/>
      <c r="N18" s="31" t="n"/>
      <c r="P18" s="31" t="inlineStr"/>
      <c r="R18" s="31" t="inlineStr"/>
      <c r="T18" s="31" t="inlineStr"/>
      <c r="V18" s="31" t="inlineStr"/>
      <c r="Z18" t="inlineStr"/>
      <c r="AA18" s="31" t="n"/>
    </row>
    <row r="19">
      <c r="A19" s="31" t="inlineStr">
        <is>
          <t>YB-CW12S0714</t>
        </is>
      </c>
      <c r="B19" s="31" t="inlineStr">
        <is>
          <t>Live</t>
        </is>
      </c>
      <c r="C19" s="31" t="inlineStr">
        <is>
          <t>IFOM4699</t>
        </is>
      </c>
      <c r="D19" s="31" t="n">
        <v>130</v>
      </c>
      <c r="H19" t="inlineStr"/>
      <c r="I19" s="31" t="n">
        <v>10</v>
      </c>
      <c r="L19" s="31" t="n"/>
      <c r="N19" s="31" t="n"/>
      <c r="P19" s="31" t="inlineStr"/>
      <c r="R19" s="31" t="inlineStr"/>
      <c r="T19" s="31" t="inlineStr"/>
      <c r="V19" s="31" t="inlineStr"/>
      <c r="Z19" t="inlineStr"/>
      <c r="AA19" s="31" t="n"/>
    </row>
    <row r="20">
      <c r="A20" s="31" t="inlineStr">
        <is>
          <t>YB-CW12Y0719</t>
        </is>
      </c>
      <c r="B20" s="31" t="inlineStr">
        <is>
          <t>Live</t>
        </is>
      </c>
      <c r="C20" s="31" t="inlineStr">
        <is>
          <t>DMOM1012</t>
        </is>
      </c>
      <c r="D20" s="31" t="n">
        <v>105</v>
      </c>
      <c r="H20" t="inlineStr"/>
      <c r="I20" s="31" t="n">
        <v>10</v>
      </c>
      <c r="L20" s="31" t="n"/>
      <c r="N20" s="31" t="n"/>
      <c r="P20" s="31" t="inlineStr"/>
      <c r="R20" s="31" t="inlineStr"/>
      <c r="T20" s="31" t="inlineStr"/>
      <c r="V20" s="31" t="inlineStr"/>
      <c r="Z20" t="inlineStr"/>
      <c r="AA20" s="31" t="n"/>
    </row>
    <row r="21">
      <c r="A21" s="31" t="inlineStr">
        <is>
          <t>YB- CW12X0718</t>
        </is>
      </c>
      <c r="B21" s="31" t="inlineStr">
        <is>
          <t>Live</t>
        </is>
      </c>
      <c r="C21" s="31" t="inlineStr">
        <is>
          <t>DMOM1011</t>
        </is>
      </c>
      <c r="D21" s="31" t="n">
        <v>155</v>
      </c>
      <c r="H21" t="inlineStr"/>
      <c r="I21" s="31" t="n">
        <v>10</v>
      </c>
      <c r="L21" s="31" t="n"/>
      <c r="N21" s="31" t="n"/>
      <c r="P21" s="31" t="inlineStr"/>
      <c r="R21" s="31" t="inlineStr"/>
      <c r="T21" s="31" t="inlineStr"/>
      <c r="V21" s="31" t="inlineStr"/>
      <c r="Z21" t="inlineStr"/>
      <c r="AA21" s="31" t="n"/>
    </row>
    <row r="22">
      <c r="A22" s="31" t="inlineStr">
        <is>
          <t>YB-CW12H0689</t>
        </is>
      </c>
      <c r="B22" s="31" t="inlineStr">
        <is>
          <t>Live</t>
        </is>
      </c>
      <c r="C22" s="31" t="inlineStr">
        <is>
          <t>DMOM1013</t>
        </is>
      </c>
      <c r="D22" s="31" t="n">
        <v>235</v>
      </c>
      <c r="H22" t="inlineStr"/>
      <c r="I22" s="31" t="n">
        <v>10</v>
      </c>
      <c r="L22" s="31" t="n"/>
      <c r="N22" s="31" t="n"/>
      <c r="P22" s="31" t="inlineStr"/>
      <c r="R22" s="31" t="inlineStr"/>
      <c r="T22" s="31" t="inlineStr"/>
      <c r="V22" s="31" t="inlineStr"/>
      <c r="Z22" t="inlineStr"/>
      <c r="AA22" s="31" t="n"/>
    </row>
    <row r="23">
      <c r="A23" s="31" t="inlineStr">
        <is>
          <t>3T-B</t>
        </is>
      </c>
      <c r="B23" s="31" t="inlineStr">
        <is>
          <t>Live</t>
        </is>
      </c>
      <c r="C23" s="31" t="inlineStr">
        <is>
          <t>DMOM1017</t>
        </is>
      </c>
      <c r="D23" s="31" t="n">
        <v>70</v>
      </c>
      <c r="H23" t="inlineStr"/>
      <c r="I23" s="31" t="n">
        <v>10</v>
      </c>
      <c r="L23" s="31" t="n"/>
      <c r="N23" s="31" t="n"/>
      <c r="P23" s="31" t="inlineStr"/>
      <c r="R23" s="31" t="inlineStr"/>
      <c r="T23" s="31" t="inlineStr"/>
      <c r="V23" s="31" t="inlineStr"/>
      <c r="Z23" t="inlineStr"/>
      <c r="AA23" s="31" t="n"/>
    </row>
    <row r="24">
      <c r="A24" s="31" t="inlineStr">
        <is>
          <t>5T-dong-183-120</t>
        </is>
      </c>
      <c r="B24" s="31" t="inlineStr">
        <is>
          <t>Live</t>
        </is>
      </c>
      <c r="C24" s="31" t="inlineStr">
        <is>
          <t>DMOM1015</t>
        </is>
      </c>
      <c r="D24" s="31" t="n">
        <v>120</v>
      </c>
      <c r="H24" t="inlineStr"/>
      <c r="I24" s="31" t="n">
        <v>10</v>
      </c>
      <c r="L24" s="31" t="n"/>
      <c r="N24" s="31" t="n"/>
      <c r="P24" s="31" t="inlineStr"/>
      <c r="R24" s="31" t="inlineStr"/>
      <c r="T24" s="31" t="inlineStr"/>
      <c r="V24" s="31" t="inlineStr"/>
      <c r="Z24" t="inlineStr"/>
      <c r="AA24" s="31" t="n"/>
    </row>
    <row r="25">
      <c r="A25" s="31" t="inlineStr">
        <is>
          <t>5T-dong-198-120</t>
        </is>
      </c>
      <c r="B25" s="31" t="inlineStr">
        <is>
          <t>Live</t>
        </is>
      </c>
      <c r="C25" s="31" t="inlineStr">
        <is>
          <t>DMOM1015</t>
        </is>
      </c>
      <c r="D25" s="31" t="n">
        <v>110</v>
      </c>
      <c r="H25" t="inlineStr"/>
      <c r="I25" s="31" t="n">
        <v>10</v>
      </c>
      <c r="L25" s="31" t="n"/>
      <c r="N25" s="31" t="n"/>
      <c r="P25" s="31" t="inlineStr"/>
      <c r="R25" s="31" t="inlineStr"/>
      <c r="T25" s="31" t="inlineStr"/>
      <c r="V25" s="31" t="inlineStr"/>
      <c r="Z25" t="inlineStr"/>
      <c r="AA25" s="31" t="n"/>
    </row>
    <row r="26">
      <c r="A26" s="31" t="inlineStr">
        <is>
          <t>5T-wangge</t>
        </is>
      </c>
      <c r="B26" s="31" t="inlineStr">
        <is>
          <t>Live</t>
        </is>
      </c>
      <c r="C26" s="31" t="inlineStr">
        <is>
          <t>DMOM1016</t>
        </is>
      </c>
      <c r="D26" s="31" t="n">
        <v>80</v>
      </c>
      <c r="H26" t="inlineStr"/>
      <c r="I26" s="31" t="n">
        <v>10</v>
      </c>
      <c r="L26" s="31" t="n"/>
      <c r="N26" s="31" t="n"/>
      <c r="P26" s="31" t="inlineStr"/>
      <c r="R26" s="31" t="inlineStr"/>
      <c r="T26" s="31" t="inlineStr"/>
      <c r="V26" s="31" t="inlineStr"/>
      <c r="Z26" t="inlineStr"/>
      <c r="AA26" s="31" t="n"/>
    </row>
    <row r="27">
      <c r="A27" s="31" t="inlineStr">
        <is>
          <t>3T-W</t>
        </is>
      </c>
      <c r="B27" s="31" t="inlineStr">
        <is>
          <t>Live</t>
        </is>
      </c>
      <c r="C27" s="31" t="inlineStr">
        <is>
          <t>DMOM1017</t>
        </is>
      </c>
      <c r="D27" s="31" t="n">
        <v>70</v>
      </c>
      <c r="H27" t="inlineStr"/>
      <c r="I27" s="31" t="n">
        <v>10</v>
      </c>
      <c r="L27" s="31" t="n"/>
      <c r="N27" s="31" t="n"/>
      <c r="P27" s="31" t="inlineStr"/>
      <c r="R27" s="31" t="inlineStr"/>
      <c r="T27" s="31" t="inlineStr"/>
      <c r="V27" s="31" t="inlineStr"/>
      <c r="Z27" t="inlineStr"/>
      <c r="AA27" s="31" t="n"/>
    </row>
    <row r="28">
      <c r="A28" s="31" t="inlineStr">
        <is>
          <t>LFC-2B</t>
        </is>
      </c>
      <c r="B28" s="31" t="inlineStr">
        <is>
          <t>Live</t>
        </is>
      </c>
      <c r="C28" s="31" t="inlineStr">
        <is>
          <t>DMOM1018</t>
        </is>
      </c>
      <c r="D28" s="31" t="n">
        <v>135</v>
      </c>
      <c r="H28" t="inlineStr"/>
      <c r="I28" s="31" t="n">
        <v>10</v>
      </c>
      <c r="L28" s="31" t="n"/>
      <c r="N28" s="31" t="n"/>
      <c r="P28" s="31" t="inlineStr"/>
      <c r="R28" s="31" t="inlineStr"/>
      <c r="T28" s="31" t="inlineStr"/>
      <c r="V28" s="31" t="inlineStr"/>
      <c r="Z28" t="inlineStr"/>
      <c r="AA28" s="31" t="n"/>
    </row>
    <row r="29">
      <c r="A29" s="31" t="inlineStr">
        <is>
          <t>LFC-2W</t>
        </is>
      </c>
      <c r="B29" s="31" t="inlineStr">
        <is>
          <t>Live</t>
        </is>
      </c>
      <c r="C29" s="31" t="inlineStr">
        <is>
          <t>DMOM1018</t>
        </is>
      </c>
      <c r="D29" s="31" t="n">
        <v>135</v>
      </c>
      <c r="H29" t="inlineStr"/>
      <c r="I29" s="31" t="n">
        <v>10</v>
      </c>
      <c r="L29" s="31" t="n"/>
      <c r="N29" s="31" t="n"/>
      <c r="P29" s="31" t="inlineStr"/>
      <c r="R29" s="31" t="inlineStr"/>
      <c r="T29" s="31" t="inlineStr"/>
      <c r="V29" s="31" t="inlineStr"/>
      <c r="Z29" t="inlineStr"/>
      <c r="AA29" s="31" t="n"/>
    </row>
    <row r="30">
      <c r="A30" s="31" t="inlineStr">
        <is>
          <t>MFC-D2-B</t>
        </is>
      </c>
      <c r="B30" s="31" t="inlineStr">
        <is>
          <t>Live</t>
        </is>
      </c>
      <c r="C30" s="31" t="inlineStr">
        <is>
          <t>DMOM1020</t>
        </is>
      </c>
      <c r="D30" s="31" t="n">
        <v>110</v>
      </c>
      <c r="H30" t="inlineStr"/>
      <c r="I30" s="31" t="n">
        <v>10</v>
      </c>
      <c r="L30" s="31" t="n"/>
      <c r="N30" s="31" t="n"/>
      <c r="P30" s="31" t="inlineStr"/>
      <c r="R30" s="31" t="inlineStr"/>
      <c r="T30" s="31" t="inlineStr"/>
      <c r="V30" s="31" t="inlineStr"/>
      <c r="Z30" t="inlineStr"/>
      <c r="AA30" s="31" t="n"/>
    </row>
    <row r="31">
      <c r="A31" s="31" t="inlineStr">
        <is>
          <t>MFC-D2-W</t>
        </is>
      </c>
      <c r="B31" s="31" t="inlineStr">
        <is>
          <t>Live</t>
        </is>
      </c>
      <c r="C31" s="31" t="inlineStr">
        <is>
          <t>DMOM1020</t>
        </is>
      </c>
      <c r="D31" s="31" t="n">
        <v>110</v>
      </c>
      <c r="H31" t="inlineStr"/>
      <c r="I31" s="31" t="n">
        <v>10</v>
      </c>
      <c r="L31" s="31" t="n"/>
      <c r="N31" s="31" t="n"/>
      <c r="P31" s="31" t="inlineStr"/>
      <c r="R31" s="31" t="inlineStr"/>
      <c r="T31" s="31" t="inlineStr"/>
      <c r="V31" s="31" t="inlineStr"/>
      <c r="Z31" t="inlineStr"/>
      <c r="AA31" s="31" t="n"/>
    </row>
    <row r="32">
      <c r="A32" s="31" t="inlineStr">
        <is>
          <t>VFC-3B</t>
        </is>
      </c>
      <c r="B32" s="31" t="inlineStr">
        <is>
          <t>Live</t>
        </is>
      </c>
      <c r="C32" s="31" t="inlineStr">
        <is>
          <t>DMOM1019</t>
        </is>
      </c>
      <c r="D32" s="31" t="n">
        <v>120</v>
      </c>
      <c r="H32" t="inlineStr"/>
      <c r="I32" s="31" t="n">
        <v>10</v>
      </c>
      <c r="L32" s="31" t="n"/>
      <c r="N32" s="31" t="n"/>
      <c r="P32" s="31" t="inlineStr"/>
      <c r="R32" s="31" t="inlineStr"/>
      <c r="T32" s="31" t="inlineStr"/>
      <c r="V32" s="31" t="inlineStr"/>
      <c r="Z32" t="inlineStr"/>
      <c r="AA32" s="31" t="n"/>
    </row>
    <row r="33">
      <c r="A33" s="31" t="inlineStr">
        <is>
          <t>VFC-3W</t>
        </is>
      </c>
      <c r="B33" s="31" t="inlineStr">
        <is>
          <t>Live</t>
        </is>
      </c>
      <c r="C33" s="31" t="inlineStr">
        <is>
          <t>DMOM1019</t>
        </is>
      </c>
      <c r="D33" s="31" t="n">
        <v>120</v>
      </c>
      <c r="H33" t="inlineStr"/>
      <c r="I33" s="31" t="n">
        <v>10</v>
      </c>
      <c r="L33" s="31" t="n"/>
      <c r="N33" s="31" t="n"/>
      <c r="P33" s="31" t="inlineStr"/>
      <c r="R33" s="31" t="inlineStr"/>
      <c r="T33" s="31" t="inlineStr"/>
      <c r="V33" s="31" t="inlineStr"/>
      <c r="Z33" t="inlineStr"/>
      <c r="AA33" s="31" t="n"/>
    </row>
    <row r="34">
      <c r="A34" s="31" t="inlineStr">
        <is>
          <t>MFC-D3-B</t>
        </is>
      </c>
      <c r="B34" s="31" t="inlineStr">
        <is>
          <t>Live</t>
        </is>
      </c>
      <c r="C34" s="31" t="inlineStr">
        <is>
          <t>DMOM1022</t>
        </is>
      </c>
      <c r="D34" s="31" t="n">
        <v>105</v>
      </c>
      <c r="H34" t="inlineStr"/>
      <c r="I34" s="31" t="n">
        <v>10</v>
      </c>
      <c r="L34" s="31" t="n"/>
      <c r="N34" s="31" t="n"/>
      <c r="P34" s="31" t="inlineStr"/>
      <c r="R34" s="31" t="inlineStr"/>
      <c r="T34" s="31" t="inlineStr"/>
      <c r="V34" s="31" t="inlineStr"/>
      <c r="Z34" t="inlineStr"/>
      <c r="AA34" s="31" t="n"/>
    </row>
    <row r="35">
      <c r="A35" s="31" t="inlineStr">
        <is>
          <t>MFC-D3-W</t>
        </is>
      </c>
      <c r="B35" s="31" t="inlineStr">
        <is>
          <t>Live</t>
        </is>
      </c>
      <c r="C35" s="31" t="inlineStr">
        <is>
          <t>DMOM1022</t>
        </is>
      </c>
      <c r="D35" s="31" t="n">
        <v>105</v>
      </c>
      <c r="H35" t="inlineStr"/>
      <c r="I35" s="31" t="n">
        <v>10</v>
      </c>
      <c r="L35" s="31" t="n"/>
      <c r="N35" s="31" t="n"/>
      <c r="P35" s="31" t="inlineStr"/>
      <c r="R35" s="31" t="inlineStr"/>
      <c r="T35" s="31" t="inlineStr"/>
      <c r="V35" s="31" t="inlineStr"/>
      <c r="Z35" t="inlineStr"/>
      <c r="AA35" s="31" t="n"/>
    </row>
    <row r="36">
      <c r="A36" s="31" t="inlineStr">
        <is>
          <t>VFC-4B</t>
        </is>
      </c>
      <c r="B36" s="31" t="inlineStr">
        <is>
          <t>Live</t>
        </is>
      </c>
      <c r="C36" s="31" t="inlineStr">
        <is>
          <t>DMOM1023</t>
        </is>
      </c>
      <c r="D36" s="31" t="n">
        <v>140</v>
      </c>
      <c r="H36" t="inlineStr"/>
      <c r="I36" s="31" t="n">
        <v>10</v>
      </c>
      <c r="L36" s="31" t="n"/>
      <c r="N36" s="31" t="n"/>
      <c r="P36" s="31" t="inlineStr"/>
      <c r="R36" s="31" t="inlineStr"/>
      <c r="T36" s="31" t="inlineStr"/>
      <c r="V36" s="31" t="inlineStr"/>
      <c r="Z36" t="inlineStr"/>
      <c r="AA36" s="31" t="n"/>
    </row>
    <row r="37">
      <c r="A37" s="31" t="inlineStr">
        <is>
          <t>VFC-4W</t>
        </is>
      </c>
      <c r="B37" s="31" t="inlineStr">
        <is>
          <t>Live</t>
        </is>
      </c>
      <c r="C37" s="31" t="inlineStr">
        <is>
          <t>DMOM1023</t>
        </is>
      </c>
      <c r="D37" s="31" t="n">
        <v>140</v>
      </c>
      <c r="H37" t="inlineStr"/>
      <c r="I37" s="31" t="n">
        <v>10</v>
      </c>
      <c r="L37" s="31" t="n"/>
      <c r="N37" s="31" t="n"/>
      <c r="P37" s="31" t="inlineStr"/>
      <c r="R37" s="31" t="inlineStr"/>
      <c r="T37" s="31" t="inlineStr"/>
      <c r="V37" s="31" t="inlineStr"/>
      <c r="Z37" t="inlineStr"/>
      <c r="AA37" s="31" t="n"/>
    </row>
    <row r="38">
      <c r="A38" s="31" t="inlineStr">
        <is>
          <t>LFC-3W</t>
        </is>
      </c>
      <c r="B38" s="31" t="inlineStr">
        <is>
          <t>Live</t>
        </is>
      </c>
      <c r="C38" s="31" t="inlineStr">
        <is>
          <t>DMOM1025</t>
        </is>
      </c>
      <c r="D38" s="31" t="n">
        <v>155</v>
      </c>
      <c r="H38" t="inlineStr"/>
      <c r="I38" s="31" t="n">
        <v>10</v>
      </c>
      <c r="L38" s="31" t="n"/>
      <c r="N38" s="31" t="n"/>
      <c r="P38" s="31" t="inlineStr"/>
      <c r="R38" s="31" t="inlineStr"/>
      <c r="T38" s="31" t="inlineStr"/>
      <c r="V38" s="31" t="inlineStr"/>
      <c r="Z38" t="inlineStr"/>
      <c r="AA38" s="31" t="n"/>
    </row>
    <row r="39">
      <c r="A39" s="31" t="inlineStr">
        <is>
          <t>LFC-3B</t>
        </is>
      </c>
      <c r="B39" s="31" t="inlineStr">
        <is>
          <t>Live</t>
        </is>
      </c>
      <c r="C39" s="31" t="inlineStr">
        <is>
          <t>DMOM1025</t>
        </is>
      </c>
      <c r="D39" s="31" t="n">
        <v>155</v>
      </c>
      <c r="H39" t="inlineStr"/>
      <c r="I39" s="31" t="n">
        <v>10</v>
      </c>
      <c r="L39" s="31" t="n"/>
      <c r="N39" s="31" t="n"/>
      <c r="P39" s="31" t="inlineStr"/>
      <c r="R39" s="31" t="inlineStr"/>
      <c r="T39" s="31" t="inlineStr"/>
      <c r="V39" s="31" t="inlineStr"/>
      <c r="Z39" t="inlineStr"/>
      <c r="AA39" s="31" t="n"/>
    </row>
    <row r="40">
      <c r="A40" s="31" t="inlineStr">
        <is>
          <t>LFC-2B-680</t>
        </is>
      </c>
      <c r="B40" s="31" t="inlineStr">
        <is>
          <t>Live</t>
        </is>
      </c>
      <c r="C40" s="31" t="inlineStr">
        <is>
          <t>DMOM1021</t>
        </is>
      </c>
      <c r="D40" s="31" t="n">
        <v>120</v>
      </c>
      <c r="H40" t="inlineStr"/>
      <c r="I40" s="31" t="n">
        <v>10</v>
      </c>
      <c r="L40" s="31" t="n"/>
      <c r="N40" s="31" t="n"/>
      <c r="P40" s="31" t="inlineStr"/>
      <c r="R40" s="31" t="inlineStr"/>
      <c r="T40" s="31" t="inlineStr"/>
      <c r="V40" s="31" t="inlineStr"/>
      <c r="Z40" t="inlineStr"/>
      <c r="AA40" s="31" t="n"/>
    </row>
    <row r="41">
      <c r="A41" s="31" t="inlineStr">
        <is>
          <t>LFC-2W-680</t>
        </is>
      </c>
      <c r="B41" s="31" t="inlineStr">
        <is>
          <t>Live</t>
        </is>
      </c>
      <c r="C41" s="31" t="inlineStr">
        <is>
          <t>DMOM1021</t>
        </is>
      </c>
      <c r="D41" s="31" t="n">
        <v>120</v>
      </c>
      <c r="H41" t="inlineStr"/>
      <c r="I41" s="31" t="n">
        <v>10</v>
      </c>
      <c r="L41" s="31" t="n"/>
      <c r="N41" s="31" t="n"/>
      <c r="P41" s="31" t="inlineStr"/>
      <c r="R41" s="31" t="inlineStr"/>
      <c r="T41" s="31" t="inlineStr"/>
      <c r="V41" s="31" t="inlineStr"/>
      <c r="Z41" t="inlineStr"/>
      <c r="AA41" s="31" t="n"/>
    </row>
    <row r="42">
      <c r="A42" s="31" t="inlineStr">
        <is>
          <t>VFC-5B</t>
        </is>
      </c>
      <c r="B42" s="31" t="inlineStr">
        <is>
          <t>Live</t>
        </is>
      </c>
      <c r="C42" s="31" t="inlineStr">
        <is>
          <t>DMOM1028</t>
        </is>
      </c>
      <c r="D42" s="31" t="n">
        <v>170</v>
      </c>
      <c r="H42" t="inlineStr"/>
      <c r="I42" s="31" t="n">
        <v>10</v>
      </c>
      <c r="L42" s="31" t="n"/>
      <c r="N42" s="31" t="n"/>
      <c r="P42" s="31" t="inlineStr"/>
      <c r="R42" s="31" t="inlineStr"/>
      <c r="T42" s="31" t="inlineStr"/>
      <c r="V42" s="31" t="inlineStr"/>
      <c r="Z42" t="inlineStr"/>
      <c r="AA42" s="31" t="n"/>
    </row>
    <row r="43">
      <c r="A43" s="31" t="inlineStr">
        <is>
          <t>VFC-5W</t>
        </is>
      </c>
      <c r="B43" s="31" t="inlineStr">
        <is>
          <t>Live</t>
        </is>
      </c>
      <c r="C43" s="31" t="inlineStr">
        <is>
          <t>DMOM1028</t>
        </is>
      </c>
      <c r="D43" s="31" t="n">
        <v>170</v>
      </c>
      <c r="H43" t="inlineStr"/>
      <c r="I43" s="31" t="n">
        <v>10</v>
      </c>
      <c r="L43" s="31" t="n"/>
      <c r="N43" s="31" t="n"/>
      <c r="P43" s="31" t="inlineStr"/>
      <c r="R43" s="31" t="inlineStr"/>
      <c r="T43" s="31" t="inlineStr"/>
      <c r="V43" s="31" t="inlineStr"/>
      <c r="Z43" t="inlineStr"/>
      <c r="AA43" s="31" t="n"/>
    </row>
    <row r="44">
      <c r="A44" s="31" t="inlineStr">
        <is>
          <t>LFC-4B</t>
        </is>
      </c>
      <c r="B44" s="31" t="inlineStr">
        <is>
          <t>Live</t>
        </is>
      </c>
      <c r="C44" s="31" t="inlineStr">
        <is>
          <t>DMOM1027</t>
        </is>
      </c>
      <c r="D44" s="31" t="n">
        <v>200</v>
      </c>
      <c r="H44" t="inlineStr"/>
      <c r="I44" s="31" t="n">
        <v>10</v>
      </c>
      <c r="L44" s="31" t="n"/>
      <c r="N44" s="31" t="n"/>
      <c r="P44" s="31" t="inlineStr"/>
      <c r="R44" s="31" t="inlineStr"/>
      <c r="T44" s="31" t="inlineStr"/>
      <c r="V44" s="31" t="inlineStr"/>
      <c r="Z44" t="inlineStr"/>
      <c r="AA44" s="31" t="n"/>
    </row>
    <row r="45">
      <c r="A45" s="31" t="inlineStr">
        <is>
          <t>LFC-4W</t>
        </is>
      </c>
      <c r="B45" s="31" t="inlineStr">
        <is>
          <t>Live</t>
        </is>
      </c>
      <c r="C45" s="31" t="inlineStr">
        <is>
          <t>DMOM1027</t>
        </is>
      </c>
      <c r="D45" s="31" t="n">
        <v>200</v>
      </c>
      <c r="H45" t="inlineStr"/>
      <c r="I45" s="31" t="n">
        <v>10</v>
      </c>
      <c r="L45" s="31" t="n"/>
      <c r="N45" s="31" t="n"/>
      <c r="P45" s="31" t="inlineStr"/>
      <c r="R45" s="31" t="inlineStr"/>
      <c r="T45" s="31" t="inlineStr"/>
      <c r="V45" s="31" t="inlineStr"/>
      <c r="Z45" t="inlineStr"/>
      <c r="AA45" s="31" t="n"/>
    </row>
    <row r="46">
      <c r="A46" s="31" t="inlineStr">
        <is>
          <t>VF-ZH-4B</t>
        </is>
      </c>
      <c r="B46" s="31" t="inlineStr">
        <is>
          <t>Live</t>
        </is>
      </c>
      <c r="C46" s="31" t="inlineStr">
        <is>
          <t>DMOM1029</t>
        </is>
      </c>
      <c r="D46" s="31" t="n">
        <v>185</v>
      </c>
      <c r="H46" t="inlineStr"/>
      <c r="I46" s="31" t="n">
        <v>10</v>
      </c>
      <c r="L46" s="31" t="n"/>
      <c r="N46" s="31" t="n"/>
      <c r="P46" s="31" t="inlineStr"/>
      <c r="R46" s="31" t="inlineStr"/>
      <c r="T46" s="31" t="inlineStr"/>
      <c r="V46" s="31" t="inlineStr"/>
      <c r="Z46" t="inlineStr"/>
      <c r="AA46" s="31" t="n"/>
    </row>
    <row r="47">
      <c r="A47" s="31" t="inlineStr">
        <is>
          <t>VF-ZH-4W</t>
        </is>
      </c>
      <c r="B47" s="31" t="inlineStr">
        <is>
          <t>Live</t>
        </is>
      </c>
      <c r="C47" s="31" t="inlineStr">
        <is>
          <t>DMOM1029</t>
        </is>
      </c>
      <c r="D47" s="31" t="n">
        <v>185</v>
      </c>
      <c r="H47" t="inlineStr"/>
      <c r="I47" s="31" t="n">
        <v>10</v>
      </c>
      <c r="L47" s="31" t="n"/>
      <c r="N47" s="31" t="n"/>
      <c r="P47" s="31" t="inlineStr"/>
      <c r="R47" s="31" t="inlineStr"/>
      <c r="T47" s="31" t="inlineStr"/>
      <c r="V47" s="31" t="inlineStr"/>
      <c r="Z47" t="inlineStr"/>
      <c r="AA47" s="31" t="n"/>
    </row>
    <row r="48">
      <c r="A48" s="31" t="inlineStr">
        <is>
          <t>LFC-5B</t>
        </is>
      </c>
      <c r="B48" s="31" t="inlineStr">
        <is>
          <t>Live</t>
        </is>
      </c>
      <c r="C48" s="31" t="inlineStr">
        <is>
          <t>DMOM1024</t>
        </is>
      </c>
      <c r="D48" s="31" t="n">
        <v>230</v>
      </c>
      <c r="H48" t="inlineStr"/>
      <c r="I48" s="31" t="n">
        <v>10</v>
      </c>
      <c r="L48" s="31" t="n"/>
      <c r="N48" s="31" t="n"/>
      <c r="P48" s="31" t="inlineStr"/>
      <c r="R48" s="31" t="inlineStr"/>
      <c r="T48" s="31" t="inlineStr"/>
      <c r="V48" s="31" t="inlineStr"/>
      <c r="Z48" t="inlineStr"/>
      <c r="AA48" s="31" t="n"/>
    </row>
    <row r="49">
      <c r="A49" s="31" t="inlineStr">
        <is>
          <t>LFC-5W</t>
        </is>
      </c>
      <c r="B49" s="31" t="inlineStr">
        <is>
          <t>Live</t>
        </is>
      </c>
      <c r="C49" s="31" t="inlineStr">
        <is>
          <t>DMOM1024</t>
        </is>
      </c>
      <c r="D49" s="31" t="n">
        <v>230</v>
      </c>
      <c r="H49" t="inlineStr"/>
      <c r="I49" s="31" t="n">
        <v>10</v>
      </c>
      <c r="L49" s="31" t="n"/>
      <c r="N49" s="31" t="n"/>
      <c r="P49" s="31" t="inlineStr"/>
      <c r="R49" s="31" t="inlineStr"/>
      <c r="T49" s="31" t="inlineStr"/>
      <c r="V49" s="31" t="inlineStr"/>
      <c r="Z49" t="inlineStr"/>
      <c r="AA49" s="31" t="n"/>
    </row>
    <row r="50">
      <c r="A50" s="31" t="inlineStr">
        <is>
          <t>VFC-2B</t>
        </is>
      </c>
      <c r="B50" s="31" t="inlineStr">
        <is>
          <t>Live</t>
        </is>
      </c>
      <c r="C50" s="31" t="inlineStr">
        <is>
          <t>DMOM1026</t>
        </is>
      </c>
      <c r="D50" s="31" t="n">
        <v>80</v>
      </c>
      <c r="H50" t="inlineStr"/>
      <c r="I50" s="31" t="n">
        <v>10</v>
      </c>
      <c r="L50" s="31" t="n"/>
      <c r="N50" s="31" t="n"/>
      <c r="P50" s="31" t="inlineStr"/>
      <c r="R50" s="31" t="inlineStr"/>
      <c r="T50" s="31" t="inlineStr"/>
      <c r="V50" s="31" t="inlineStr"/>
      <c r="Z50" t="inlineStr"/>
      <c r="AA50" s="31" t="n"/>
    </row>
    <row r="51">
      <c r="A51" s="31" t="inlineStr">
        <is>
          <t>VFC-2W</t>
        </is>
      </c>
      <c r="B51" s="31" t="inlineStr">
        <is>
          <t>Live</t>
        </is>
      </c>
      <c r="C51" s="31" t="inlineStr">
        <is>
          <t>DMOM1026</t>
        </is>
      </c>
      <c r="D51" s="31" t="n">
        <v>80</v>
      </c>
      <c r="H51" t="inlineStr"/>
      <c r="I51" s="31" t="n">
        <v>10</v>
      </c>
      <c r="L51" s="31" t="n"/>
      <c r="N51" s="31" t="n"/>
      <c r="P51" s="31" t="inlineStr"/>
      <c r="R51" s="31" t="inlineStr"/>
      <c r="T51" s="31" t="inlineStr"/>
      <c r="V51" s="31" t="inlineStr"/>
      <c r="Z51" t="inlineStr"/>
      <c r="AA51" s="31" t="n"/>
    </row>
    <row r="52">
      <c r="A52" s="31" t="inlineStr">
        <is>
          <t>VFC-5W-wheel</t>
        </is>
      </c>
      <c r="B52" s="31" t="inlineStr">
        <is>
          <t>Live, Some Stores</t>
        </is>
      </c>
      <c r="C52" s="31" t="inlineStr">
        <is>
          <t>DMOM1030</t>
        </is>
      </c>
      <c r="D52" s="31" t="n">
        <v>175</v>
      </c>
      <c r="H52" t="inlineStr"/>
      <c r="I52" s="31" t="n">
        <v>10</v>
      </c>
      <c r="L52" s="31" t="n"/>
      <c r="N52" s="31" t="n"/>
      <c r="P52" s="31" t="inlineStr"/>
      <c r="R52" s="31" t="inlineStr"/>
      <c r="T52" s="31" t="inlineStr"/>
      <c r="V52" s="31" t="inlineStr"/>
      <c r="Z52" t="inlineStr"/>
      <c r="AA52" s="31" t="n"/>
    </row>
    <row r="53">
      <c r="A53" s="31" t="inlineStr">
        <is>
          <t>VFC-4W-wheel</t>
        </is>
      </c>
      <c r="B53" s="31" t="inlineStr">
        <is>
          <t>Live, Some Stores</t>
        </is>
      </c>
      <c r="C53" s="31" t="inlineStr">
        <is>
          <t>DMOM1030</t>
        </is>
      </c>
      <c r="D53" s="31" t="n">
        <v>150</v>
      </c>
      <c r="H53" t="inlineStr"/>
      <c r="I53" s="31" t="n">
        <v>10</v>
      </c>
      <c r="L53" s="31" t="n"/>
      <c r="N53" s="31" t="n"/>
      <c r="P53" s="31" t="inlineStr"/>
      <c r="R53" s="31" t="inlineStr"/>
      <c r="T53" s="31" t="inlineStr"/>
      <c r="V53" s="31" t="inlineStr"/>
      <c r="Z53" t="inlineStr"/>
      <c r="AA53" s="31" t="n"/>
    </row>
    <row r="54">
      <c r="A54" s="31" t="inlineStr">
        <is>
          <t>VFC-5B-wheel</t>
        </is>
      </c>
      <c r="B54" s="31" t="inlineStr">
        <is>
          <t>Live, Some Stores</t>
        </is>
      </c>
      <c r="C54" s="31" t="inlineStr">
        <is>
          <t>DMOM1030</t>
        </is>
      </c>
      <c r="D54" s="31" t="n">
        <v>175</v>
      </c>
      <c r="H54" t="inlineStr"/>
      <c r="I54" s="31" t="n">
        <v>10</v>
      </c>
      <c r="L54" s="31" t="n"/>
      <c r="N54" s="31" t="n"/>
      <c r="P54" s="31" t="inlineStr"/>
      <c r="R54" s="31" t="inlineStr"/>
      <c r="T54" s="31" t="inlineStr"/>
      <c r="V54" s="31" t="inlineStr"/>
      <c r="Z54" t="inlineStr"/>
      <c r="AA54" s="31" t="n"/>
    </row>
    <row r="55">
      <c r="A55" s="31" t="inlineStr">
        <is>
          <t>VFC-4B-wheel</t>
        </is>
      </c>
      <c r="B55" s="31" t="inlineStr">
        <is>
          <t>Live, Some Stores</t>
        </is>
      </c>
      <c r="C55" s="31" t="inlineStr">
        <is>
          <t>DMOM1030</t>
        </is>
      </c>
      <c r="D55" s="31" t="n">
        <v>150</v>
      </c>
      <c r="H55" t="inlineStr"/>
      <c r="I55" s="31" t="n">
        <v>10</v>
      </c>
      <c r="L55" s="31" t="n"/>
      <c r="N55" s="31" t="n"/>
      <c r="P55" s="31" t="inlineStr"/>
      <c r="R55" s="31" t="inlineStr"/>
      <c r="T55" s="31" t="inlineStr"/>
      <c r="V55" s="31" t="inlineStr"/>
      <c r="Z55" t="inlineStr"/>
      <c r="AA55" s="31" t="n"/>
    </row>
    <row r="56">
      <c r="A56" s="31" t="inlineStr">
        <is>
          <t>MFC-D01</t>
        </is>
      </c>
      <c r="B56" s="31" t="inlineStr">
        <is>
          <t>Live</t>
        </is>
      </c>
      <c r="C56" s="31" t="inlineStr">
        <is>
          <t>DMOM1031</t>
        </is>
      </c>
      <c r="D56" s="31" t="n">
        <v>125</v>
      </c>
      <c r="H56" t="inlineStr"/>
      <c r="I56" s="31" t="n">
        <v>10</v>
      </c>
      <c r="L56" s="31" t="n"/>
      <c r="N56" s="31" t="n"/>
      <c r="P56" s="31" t="inlineStr"/>
      <c r="R56" s="31" t="inlineStr"/>
      <c r="T56" s="31" t="inlineStr"/>
      <c r="V56" s="31" t="inlineStr"/>
      <c r="Z56" t="inlineStr"/>
      <c r="AA56" s="31" t="n"/>
    </row>
    <row r="57">
      <c r="A57" s="31" t="inlineStr">
        <is>
          <t>MFC-D02</t>
        </is>
      </c>
      <c r="B57" s="31" t="inlineStr">
        <is>
          <t>Live</t>
        </is>
      </c>
      <c r="C57" s="31" t="inlineStr">
        <is>
          <t>DMOM1031</t>
        </is>
      </c>
      <c r="D57" s="31" t="n">
        <v>140</v>
      </c>
      <c r="H57" t="inlineStr"/>
      <c r="I57" s="31" t="n">
        <v>10</v>
      </c>
      <c r="L57" s="31" t="n"/>
      <c r="N57" s="31" t="n"/>
      <c r="P57" s="31" t="inlineStr"/>
      <c r="R57" s="31" t="inlineStr"/>
      <c r="T57" s="31" t="inlineStr"/>
      <c r="V57" s="31" t="inlineStr"/>
      <c r="Z57" t="inlineStr"/>
      <c r="AA57" s="31" t="n"/>
    </row>
    <row r="58">
      <c r="A58" s="31" t="inlineStr">
        <is>
          <t>MFC-D03</t>
        </is>
      </c>
      <c r="B58" s="31" t="inlineStr">
        <is>
          <t>Live</t>
        </is>
      </c>
      <c r="C58" s="31" t="inlineStr">
        <is>
          <t>DMOM1031</t>
        </is>
      </c>
      <c r="D58" s="31" t="n">
        <v>135</v>
      </c>
      <c r="H58" t="inlineStr"/>
      <c r="I58" s="31" t="n">
        <v>10</v>
      </c>
      <c r="L58" s="31" t="n"/>
      <c r="N58" s="31" t="n"/>
      <c r="P58" s="31" t="inlineStr"/>
      <c r="R58" s="31" t="inlineStr"/>
      <c r="T58" s="31" t="inlineStr"/>
      <c r="V58" s="31" t="inlineStr"/>
      <c r="Z58" t="inlineStr"/>
      <c r="AA58" s="31" t="n"/>
    </row>
    <row r="59">
      <c r="A59" s="31" t="inlineStr">
        <is>
          <t>MFC-D04</t>
        </is>
      </c>
      <c r="B59" s="31" t="inlineStr">
        <is>
          <t>Live</t>
        </is>
      </c>
      <c r="C59" s="31" t="inlineStr">
        <is>
          <t>DMOM1031</t>
        </is>
      </c>
      <c r="D59" s="31" t="n">
        <v>125</v>
      </c>
      <c r="H59" t="inlineStr"/>
      <c r="I59" s="31" t="n">
        <v>10</v>
      </c>
      <c r="L59" s="31" t="n"/>
      <c r="N59" s="31" t="n"/>
      <c r="P59" s="31" t="inlineStr"/>
      <c r="R59" s="31" t="inlineStr"/>
      <c r="T59" s="31" t="inlineStr"/>
      <c r="V59" s="31" t="inlineStr"/>
      <c r="Z59" t="inlineStr"/>
      <c r="AA59" s="31" t="n"/>
    </row>
    <row r="60">
      <c r="A60" s="31" t="inlineStr">
        <is>
          <t>CT-02</t>
        </is>
      </c>
      <c r="B60" s="31" t="inlineStr">
        <is>
          <t>Live</t>
        </is>
      </c>
      <c r="C60" s="31" t="inlineStr">
        <is>
          <t>DMOM1037</t>
        </is>
      </c>
      <c r="D60" s="31" t="n">
        <v>128</v>
      </c>
      <c r="H60" t="inlineStr"/>
      <c r="I60" s="31" t="n">
        <v>10</v>
      </c>
      <c r="L60" s="31" t="n"/>
      <c r="N60" s="31" t="n"/>
      <c r="P60" s="31" t="inlineStr"/>
      <c r="R60" s="31" t="inlineStr"/>
      <c r="T60" s="31" t="inlineStr"/>
      <c r="V60" s="31" t="inlineStr"/>
      <c r="Z60" t="inlineStr"/>
      <c r="AA60" s="31" t="n"/>
    </row>
    <row r="61">
      <c r="A61" s="31" t="inlineStr">
        <is>
          <t>PT01-WH</t>
        </is>
      </c>
      <c r="B61" s="31" t="inlineStr">
        <is>
          <t>Live</t>
        </is>
      </c>
      <c r="C61" s="31" t="inlineStr">
        <is>
          <t>DMOM1038</t>
        </is>
      </c>
      <c r="D61" s="31" t="n">
        <v>136</v>
      </c>
      <c r="H61" t="inlineStr"/>
      <c r="I61" s="31" t="n">
        <v>10</v>
      </c>
      <c r="L61" s="31" t="n"/>
      <c r="N61" s="31" t="n"/>
      <c r="P61" s="31" t="inlineStr"/>
      <c r="R61" s="31" t="inlineStr"/>
      <c r="T61" s="31" t="inlineStr"/>
      <c r="V61" s="31" t="inlineStr"/>
      <c r="Z61" t="inlineStr"/>
      <c r="AA61" s="31" t="n"/>
    </row>
    <row r="62">
      <c r="A62" s="31" t="inlineStr">
        <is>
          <t>PT02-WH</t>
        </is>
      </c>
      <c r="B62" s="31" t="inlineStr">
        <is>
          <t>Live</t>
        </is>
      </c>
      <c r="C62" s="31" t="inlineStr">
        <is>
          <t>DMOM1039</t>
        </is>
      </c>
      <c r="D62" s="31" t="n">
        <v>162</v>
      </c>
      <c r="H62" t="inlineStr"/>
      <c r="I62" s="31" t="n">
        <v>10</v>
      </c>
      <c r="L62" s="31" t="n"/>
      <c r="N62" s="31" t="n"/>
      <c r="P62" s="31" t="inlineStr"/>
      <c r="R62" s="31" t="inlineStr"/>
      <c r="T62" s="31" t="inlineStr"/>
      <c r="V62" s="31" t="inlineStr"/>
      <c r="Z62" t="inlineStr"/>
      <c r="AA62" s="31" t="n"/>
    </row>
    <row r="63">
      <c r="A63" s="31" t="inlineStr">
        <is>
          <t>CT-01</t>
        </is>
      </c>
      <c r="B63" s="31" t="inlineStr">
        <is>
          <t>Live</t>
        </is>
      </c>
      <c r="C63" s="31" t="inlineStr">
        <is>
          <t>DMOM1040</t>
        </is>
      </c>
      <c r="D63" s="31" t="n">
        <v>136</v>
      </c>
      <c r="H63" t="inlineStr"/>
      <c r="I63" s="31" t="n">
        <v>10</v>
      </c>
      <c r="L63" s="31" t="n"/>
      <c r="N63" s="31" t="n"/>
      <c r="P63" s="31" t="inlineStr"/>
      <c r="R63" s="31" t="inlineStr"/>
      <c r="T63" s="31" t="inlineStr"/>
      <c r="V63" s="31" t="inlineStr"/>
      <c r="Z63" t="inlineStr"/>
      <c r="AA63" s="31" t="n"/>
    </row>
    <row r="64">
      <c r="A64" s="31" t="inlineStr">
        <is>
          <t>CT-3ps</t>
        </is>
      </c>
      <c r="B64" s="31" t="inlineStr">
        <is>
          <t>Live</t>
        </is>
      </c>
      <c r="C64" s="31" t="inlineStr">
        <is>
          <t>DMOM1041</t>
        </is>
      </c>
      <c r="D64" s="31" t="n">
        <v>187</v>
      </c>
      <c r="H64" t="inlineStr"/>
      <c r="I64" s="31" t="n">
        <v>10</v>
      </c>
      <c r="L64" s="31" t="n"/>
      <c r="N64" s="31" t="n"/>
      <c r="P64" s="31" t="inlineStr"/>
      <c r="R64" s="31" t="inlineStr"/>
      <c r="T64" s="31" t="inlineStr"/>
      <c r="V64" s="31" t="inlineStr"/>
      <c r="Z64" t="inlineStr"/>
      <c r="AA64" s="31" t="n"/>
    </row>
    <row r="65">
      <c r="A65" s="31" t="inlineStr">
        <is>
          <t>PT03-WH</t>
        </is>
      </c>
      <c r="B65" s="31" t="inlineStr">
        <is>
          <t>Live</t>
        </is>
      </c>
      <c r="C65" s="31" t="inlineStr">
        <is>
          <t>DMOM1042</t>
        </is>
      </c>
      <c r="D65" s="31" t="n">
        <v>162</v>
      </c>
      <c r="H65" t="inlineStr"/>
      <c r="I65" s="31" t="n">
        <v>10</v>
      </c>
      <c r="L65" s="31" t="n"/>
      <c r="N65" s="31" t="n"/>
      <c r="P65" s="31" t="inlineStr"/>
      <c r="R65" s="31" t="inlineStr"/>
      <c r="T65" s="31" t="inlineStr"/>
      <c r="V65" s="31" t="inlineStr"/>
      <c r="Z65" t="inlineStr"/>
      <c r="AA65" s="31" t="n"/>
    </row>
    <row r="66">
      <c r="A66" s="31" t="inlineStr">
        <is>
          <t>PT04-WH</t>
        </is>
      </c>
      <c r="B66" s="31" t="inlineStr">
        <is>
          <t>Live</t>
        </is>
      </c>
      <c r="C66" s="31" t="inlineStr">
        <is>
          <t>DMOM1043</t>
        </is>
      </c>
      <c r="D66" s="31" t="n">
        <v>170</v>
      </c>
      <c r="H66" t="inlineStr"/>
      <c r="I66" s="31" t="n">
        <v>10</v>
      </c>
      <c r="L66" s="31" t="n"/>
      <c r="N66" s="31" t="n"/>
      <c r="P66" s="31" t="inlineStr"/>
      <c r="R66" s="31" t="inlineStr"/>
      <c r="T66" s="31" t="inlineStr"/>
      <c r="V66" s="31" t="inlineStr"/>
      <c r="Z66" t="inlineStr"/>
      <c r="AA66" s="31" t="n"/>
    </row>
    <row r="67">
      <c r="A67" s="31" t="inlineStr">
        <is>
          <t>PT05-WH</t>
        </is>
      </c>
      <c r="B67" s="31" t="inlineStr">
        <is>
          <t>Live</t>
        </is>
      </c>
      <c r="C67" s="31" t="inlineStr">
        <is>
          <t>DMOM1044</t>
        </is>
      </c>
      <c r="D67" s="31" t="n">
        <v>99</v>
      </c>
      <c r="H67" t="inlineStr"/>
      <c r="I67" s="31" t="n">
        <v>10</v>
      </c>
      <c r="L67" s="31" t="n"/>
      <c r="N67" s="31" t="n"/>
      <c r="P67" s="31" t="inlineStr"/>
      <c r="R67" s="31" t="inlineStr"/>
      <c r="T67" s="31" t="inlineStr"/>
      <c r="V67" s="31" t="inlineStr"/>
      <c r="Z67" t="inlineStr"/>
      <c r="AA67" s="31" t="n"/>
    </row>
    <row r="68">
      <c r="A68" s="31" t="inlineStr">
        <is>
          <t>6D-locker</t>
        </is>
      </c>
      <c r="B68" s="31" t="inlineStr">
        <is>
          <t>Live, Some Stores</t>
        </is>
      </c>
      <c r="C68" s="31" t="inlineStr">
        <is>
          <t>DMOM1045</t>
        </is>
      </c>
      <c r="D68" s="31" t="n">
        <v>145</v>
      </c>
      <c r="H68" t="inlineStr"/>
      <c r="I68" s="31" t="n">
        <v>10</v>
      </c>
      <c r="L68" s="31" t="n"/>
      <c r="N68" s="31" t="n"/>
      <c r="P68" s="31" t="inlineStr"/>
      <c r="R68" s="31" t="inlineStr"/>
      <c r="T68" s="31" t="inlineStr"/>
      <c r="V68" s="31" t="inlineStr"/>
      <c r="Z68" t="inlineStr"/>
      <c r="AA68" s="31" t="n"/>
    </row>
    <row r="69">
      <c r="A69" s="31" t="inlineStr">
        <is>
          <t>9D-locker</t>
        </is>
      </c>
      <c r="B69" s="31" t="inlineStr">
        <is>
          <t>Live, Some Stores</t>
        </is>
      </c>
      <c r="C69" s="31" t="inlineStr">
        <is>
          <t>DMOM1046</t>
        </is>
      </c>
      <c r="D69" s="31" t="n">
        <v>156</v>
      </c>
      <c r="H69" t="inlineStr"/>
      <c r="I69" s="31" t="n">
        <v>10</v>
      </c>
      <c r="L69" s="31" t="n"/>
      <c r="N69" s="31" t="n"/>
      <c r="P69" s="31" t="inlineStr"/>
      <c r="R69" s="31" t="inlineStr"/>
      <c r="T69" s="31" t="inlineStr"/>
      <c r="V69" s="31" t="inlineStr"/>
      <c r="Z69" t="inlineStr"/>
      <c r="AA69" s="31" t="n"/>
    </row>
    <row r="70">
      <c r="A70" s="31" t="inlineStr">
        <is>
          <t>W3D-G-locker</t>
        </is>
      </c>
      <c r="B70" s="31" t="inlineStr">
        <is>
          <t>Live</t>
        </is>
      </c>
      <c r="C70" s="31" t="inlineStr">
        <is>
          <t>DMOM1047</t>
        </is>
      </c>
      <c r="D70" s="31" t="n">
        <v>221</v>
      </c>
      <c r="H70" t="inlineStr"/>
      <c r="I70" s="31" t="n">
        <v>10</v>
      </c>
      <c r="L70" s="31" t="n"/>
      <c r="N70" s="31" t="n"/>
      <c r="P70" s="31" t="inlineStr"/>
      <c r="R70" s="31" t="inlineStr"/>
      <c r="T70" s="31" t="inlineStr"/>
      <c r="V70" s="31" t="inlineStr"/>
      <c r="Z70" t="inlineStr"/>
      <c r="AA70" s="31" t="n"/>
    </row>
    <row r="71">
      <c r="A71" s="31" t="inlineStr">
        <is>
          <t>W9D-G-locker</t>
        </is>
      </c>
      <c r="B71" s="31" t="inlineStr">
        <is>
          <t>Live</t>
        </is>
      </c>
      <c r="C71" s="31" t="inlineStr">
        <is>
          <t>DMOM1048</t>
        </is>
      </c>
      <c r="D71" s="31" t="n">
        <v>238</v>
      </c>
      <c r="H71" t="inlineStr"/>
      <c r="I71" s="31" t="n">
        <v>10</v>
      </c>
      <c r="L71" s="31" t="n"/>
      <c r="N71" s="31" t="n"/>
      <c r="P71" s="31" t="inlineStr"/>
      <c r="R71" s="31" t="inlineStr"/>
      <c r="T71" s="31" t="inlineStr"/>
      <c r="V71" s="31" t="inlineStr"/>
      <c r="Z71" t="inlineStr"/>
      <c r="AA71" s="31" t="n"/>
    </row>
    <row r="72">
      <c r="A72" s="31" t="inlineStr">
        <is>
          <t>W6D-G-locker</t>
        </is>
      </c>
      <c r="B72" s="31" t="inlineStr">
        <is>
          <t>Live</t>
        </is>
      </c>
      <c r="C72" s="31" t="inlineStr">
        <is>
          <t>DMOM1049</t>
        </is>
      </c>
      <c r="D72" s="31" t="n">
        <v>230</v>
      </c>
      <c r="H72" t="inlineStr"/>
      <c r="I72" s="31" t="n">
        <v>10</v>
      </c>
      <c r="L72" s="31" t="n"/>
      <c r="N72" s="31" t="n"/>
      <c r="P72" s="31" t="inlineStr"/>
      <c r="R72" s="31" t="inlineStr"/>
      <c r="T72" s="31" t="inlineStr"/>
      <c r="V72" s="31" t="inlineStr"/>
      <c r="Z72" t="inlineStr"/>
      <c r="AA72" s="31" t="n"/>
    </row>
    <row r="73">
      <c r="A73" s="31" t="inlineStr">
        <is>
          <t>LFC-4B-400</t>
        </is>
      </c>
      <c r="B73" s="31" t="inlineStr">
        <is>
          <t>Live</t>
        </is>
      </c>
      <c r="C73" s="31" t="inlineStr">
        <is>
          <t>DMOM1054</t>
        </is>
      </c>
      <c r="D73" s="31" t="n">
        <v>180</v>
      </c>
      <c r="H73" t="inlineStr"/>
      <c r="I73" s="31" t="n">
        <v>10</v>
      </c>
      <c r="L73" s="31" t="n"/>
      <c r="N73" s="31" t="n"/>
      <c r="P73" s="31" t="inlineStr"/>
      <c r="R73" s="31" t="inlineStr"/>
      <c r="T73" s="31" t="inlineStr"/>
      <c r="V73" s="31" t="inlineStr"/>
      <c r="Z73" t="inlineStr"/>
      <c r="AA73" s="31" t="n"/>
    </row>
    <row r="74">
      <c r="A74" s="31" t="inlineStr">
        <is>
          <t>LFC-4W-400</t>
        </is>
      </c>
      <c r="B74" s="31" t="inlineStr">
        <is>
          <t>Live</t>
        </is>
      </c>
      <c r="C74" s="31" t="inlineStr">
        <is>
          <t>DMOM1053</t>
        </is>
      </c>
      <c r="D74" s="31" t="n">
        <v>180</v>
      </c>
      <c r="H74" t="inlineStr"/>
      <c r="I74" s="31" t="n">
        <v>10</v>
      </c>
      <c r="L74" s="31" t="n"/>
      <c r="N74" s="31" t="n"/>
      <c r="P74" s="31" t="inlineStr"/>
      <c r="R74" s="31" t="inlineStr"/>
      <c r="T74" s="31" t="inlineStr"/>
      <c r="V74" s="31" t="inlineStr"/>
      <c r="Z74" t="inlineStr"/>
      <c r="AA74" s="31" t="n"/>
    </row>
    <row r="75">
      <c r="A75" s="31" t="inlineStr">
        <is>
          <t>MFC-D3W</t>
        </is>
      </c>
      <c r="B75" s="31" t="inlineStr">
        <is>
          <t>Unpurchasable</t>
        </is>
      </c>
      <c r="C75" s="31" t="inlineStr">
        <is>
          <t>DMOM1055</t>
        </is>
      </c>
      <c r="D75" s="31" t="n">
        <v>125</v>
      </c>
      <c r="H75" t="inlineStr"/>
      <c r="I75" s="31" t="n"/>
      <c r="L75" s="31" t="n"/>
      <c r="N75" s="31" t="n"/>
      <c r="P75" s="31" t="inlineStr"/>
      <c r="R75" s="31" t="inlineStr"/>
      <c r="T75" s="31" t="inlineStr"/>
      <c r="V75" s="31" t="inlineStr"/>
      <c r="Z75" t="inlineStr"/>
      <c r="AA75" s="31" t="n"/>
    </row>
    <row r="76">
      <c r="A76" s="31" t="inlineStr">
        <is>
          <t>MFC-D2B</t>
        </is>
      </c>
      <c r="B76" s="31" t="inlineStr">
        <is>
          <t>Unpurchasable</t>
        </is>
      </c>
      <c r="C76" s="31" t="inlineStr">
        <is>
          <t>DMOM1056</t>
        </is>
      </c>
      <c r="D76" s="31" t="n">
        <v>130</v>
      </c>
      <c r="H76" t="inlineStr"/>
      <c r="I76" s="31" t="n"/>
      <c r="L76" s="31" t="n"/>
      <c r="N76" s="31" t="n"/>
      <c r="P76" s="31" t="inlineStr"/>
      <c r="R76" s="31" t="inlineStr"/>
      <c r="T76" s="31" t="inlineStr"/>
      <c r="V76" s="31" t="inlineStr"/>
      <c r="Z76" t="inlineStr"/>
      <c r="AA76" s="31" t="n"/>
    </row>
    <row r="77">
      <c r="A77" s="31" t="inlineStr">
        <is>
          <t>MFC-D3B</t>
        </is>
      </c>
      <c r="B77" s="31" t="inlineStr">
        <is>
          <t>Unpurchasable</t>
        </is>
      </c>
      <c r="C77" s="31" t="inlineStr">
        <is>
          <t>DMOM1055</t>
        </is>
      </c>
      <c r="D77" s="31" t="n">
        <v>125</v>
      </c>
      <c r="H77" t="inlineStr"/>
      <c r="I77" s="31" t="n"/>
      <c r="L77" s="31" t="n"/>
      <c r="N77" s="31" t="n"/>
      <c r="P77" s="31" t="inlineStr"/>
      <c r="R77" s="31" t="inlineStr"/>
      <c r="T77" s="31" t="inlineStr"/>
      <c r="V77" s="31" t="inlineStr"/>
      <c r="Z77" t="inlineStr"/>
      <c r="AA77" s="31" t="n"/>
    </row>
    <row r="78">
      <c r="A78" s="31" t="inlineStr">
        <is>
          <t>MFC-D2W</t>
        </is>
      </c>
      <c r="B78" s="31" t="inlineStr">
        <is>
          <t>Unpurchasable</t>
        </is>
      </c>
      <c r="C78" s="31" t="inlineStr">
        <is>
          <t>DMOM1056</t>
        </is>
      </c>
      <c r="D78" s="31" t="n">
        <v>130</v>
      </c>
      <c r="H78" t="inlineStr"/>
      <c r="I78" s="31" t="n"/>
      <c r="L78" s="31" t="n"/>
      <c r="N78" s="31" t="n"/>
      <c r="P78" s="31" t="inlineStr"/>
      <c r="R78" s="31" t="inlineStr"/>
      <c r="T78" s="31" t="inlineStr"/>
      <c r="V78" s="31" t="inlineStr"/>
      <c r="Z78" t="inlineStr"/>
      <c r="AA78" s="31" t="n"/>
    </row>
    <row r="79">
      <c r="A79" s="31" t="inlineStr">
        <is>
          <t>TOOL-A06</t>
        </is>
      </c>
      <c r="B79" s="31" t="inlineStr">
        <is>
          <t>Live</t>
        </is>
      </c>
      <c r="C79" s="31" t="inlineStr">
        <is>
          <t>DMOM1068</t>
        </is>
      </c>
      <c r="D79" s="31" t="n">
        <v>156.4</v>
      </c>
      <c r="H79" t="inlineStr"/>
      <c r="I79" s="31" t="n"/>
      <c r="L79" s="31" t="n"/>
      <c r="N79" s="31" t="n"/>
      <c r="P79" s="31" t="inlineStr"/>
      <c r="R79" s="31" t="inlineStr"/>
      <c r="T79" s="31" t="inlineStr"/>
      <c r="V79" s="31" t="inlineStr"/>
      <c r="Z79" t="inlineStr"/>
      <c r="AA79" s="31" t="n"/>
    </row>
    <row r="80">
      <c r="A80" s="31" t="inlineStr">
        <is>
          <t>TOOL-B05</t>
        </is>
      </c>
      <c r="B80" s="31" t="inlineStr">
        <is>
          <t>Live</t>
        </is>
      </c>
      <c r="C80" s="31" t="inlineStr">
        <is>
          <t>DMOM1067</t>
        </is>
      </c>
      <c r="D80" s="31" t="n">
        <v>156.4</v>
      </c>
      <c r="H80" t="inlineStr"/>
      <c r="I80" s="31" t="n"/>
      <c r="L80" s="31" t="n"/>
      <c r="N80" s="31" t="n"/>
      <c r="P80" s="31" t="inlineStr"/>
      <c r="R80" s="31" t="inlineStr"/>
      <c r="T80" s="31" t="inlineStr"/>
      <c r="V80" s="31" t="inlineStr"/>
      <c r="Z80" t="inlineStr"/>
      <c r="AA80" s="31" t="n"/>
    </row>
    <row r="81">
      <c r="A81" s="31" t="inlineStr">
        <is>
          <t>TOOL-B04</t>
        </is>
      </c>
      <c r="B81" s="31" t="inlineStr">
        <is>
          <t>Live</t>
        </is>
      </c>
      <c r="C81" s="31" t="inlineStr">
        <is>
          <t>DMOM1069</t>
        </is>
      </c>
      <c r="D81" s="31" t="n">
        <v>132.6</v>
      </c>
      <c r="H81" t="inlineStr"/>
      <c r="I81" s="31" t="n"/>
      <c r="L81" s="31" t="n"/>
      <c r="N81" s="31" t="n"/>
      <c r="P81" s="31" t="inlineStr"/>
      <c r="R81" s="31" t="inlineStr"/>
      <c r="T81" s="31" t="inlineStr"/>
      <c r="V81" s="31" t="inlineStr"/>
      <c r="Z81" t="inlineStr"/>
      <c r="AA81" s="31" t="n"/>
    </row>
    <row r="82">
      <c r="A82" s="31" t="inlineStr">
        <is>
          <t>TOOL-B07</t>
        </is>
      </c>
      <c r="B82" s="31" t="inlineStr">
        <is>
          <t>Live</t>
        </is>
      </c>
      <c r="C82" s="31" t="inlineStr">
        <is>
          <t>DMOM1074</t>
        </is>
      </c>
      <c r="D82" s="31" t="n">
        <v>178.5</v>
      </c>
      <c r="H82" t="inlineStr"/>
      <c r="I82" s="31" t="n"/>
      <c r="L82" s="31" t="n"/>
      <c r="N82" s="31" t="n"/>
      <c r="P82" s="31" t="inlineStr"/>
      <c r="R82" s="31" t="inlineStr"/>
      <c r="T82" s="31" t="inlineStr"/>
      <c r="V82" s="31" t="inlineStr"/>
      <c r="Z82" t="inlineStr"/>
      <c r="AA82" s="31" t="n"/>
    </row>
    <row r="83">
      <c r="A83" s="31" t="inlineStr">
        <is>
          <t>TOOL-A02</t>
        </is>
      </c>
      <c r="B83" s="31" t="inlineStr">
        <is>
          <t>Live</t>
        </is>
      </c>
      <c r="C83" s="31" t="inlineStr">
        <is>
          <t>DMOM1070</t>
        </is>
      </c>
      <c r="D83" s="31" t="n">
        <v>110.5</v>
      </c>
      <c r="H83" t="inlineStr"/>
      <c r="I83" s="31" t="n"/>
      <c r="L83" s="31" t="n"/>
      <c r="N83" s="31" t="n"/>
      <c r="P83" s="31" t="inlineStr"/>
      <c r="R83" s="31" t="inlineStr"/>
      <c r="T83" s="31" t="inlineStr"/>
      <c r="V83" s="31" t="inlineStr"/>
      <c r="Z83" t="inlineStr"/>
      <c r="AA83" s="31" t="n"/>
    </row>
    <row r="84">
      <c r="A84" s="31" t="inlineStr">
        <is>
          <t>TOOL-A07</t>
        </is>
      </c>
      <c r="B84" s="31" t="inlineStr">
        <is>
          <t>Live</t>
        </is>
      </c>
      <c r="C84" s="31" t="inlineStr">
        <is>
          <t>DMOM1074</t>
        </is>
      </c>
      <c r="D84" s="31" t="n">
        <v>178.5</v>
      </c>
      <c r="H84" t="inlineStr"/>
      <c r="I84" s="31" t="n"/>
      <c r="L84" s="31" t="n"/>
      <c r="N84" s="31" t="n"/>
      <c r="P84" s="31" t="inlineStr"/>
      <c r="R84" s="31" t="inlineStr"/>
      <c r="T84" s="31" t="inlineStr"/>
      <c r="V84" s="31" t="inlineStr"/>
      <c r="Z84" t="inlineStr"/>
      <c r="AA84" s="31" t="n"/>
    </row>
    <row r="85">
      <c r="A85" s="31" t="inlineStr">
        <is>
          <t>TOOL-A03</t>
        </is>
      </c>
      <c r="B85" s="31" t="inlineStr">
        <is>
          <t>Live</t>
        </is>
      </c>
      <c r="C85" s="31" t="inlineStr">
        <is>
          <t>DMOM1062</t>
        </is>
      </c>
      <c r="D85" s="31" t="n">
        <v>103.7</v>
      </c>
      <c r="H85" t="inlineStr"/>
      <c r="I85" s="31" t="n"/>
      <c r="L85" s="31" t="n"/>
      <c r="N85" s="31" t="n"/>
      <c r="P85" s="31" t="inlineStr"/>
      <c r="R85" s="31" t="inlineStr"/>
      <c r="T85" s="31" t="inlineStr"/>
      <c r="V85" s="31" t="inlineStr"/>
      <c r="Z85" t="inlineStr"/>
      <c r="AA85" s="31" t="n"/>
    </row>
    <row r="86">
      <c r="A86" s="31" t="inlineStr">
        <is>
          <t>TOOL-B03</t>
        </is>
      </c>
      <c r="B86" s="31" t="inlineStr">
        <is>
          <t>Live</t>
        </is>
      </c>
      <c r="C86" s="31" t="inlineStr">
        <is>
          <t>DMOM1062</t>
        </is>
      </c>
      <c r="D86" s="31" t="n">
        <v>127.5</v>
      </c>
      <c r="H86" t="inlineStr"/>
      <c r="I86" s="31" t="n"/>
      <c r="L86" s="31" t="n"/>
      <c r="N86" s="31" t="n"/>
      <c r="P86" s="31" t="inlineStr"/>
      <c r="R86" s="31" t="inlineStr"/>
      <c r="T86" s="31" t="inlineStr"/>
      <c r="V86" s="31" t="inlineStr"/>
      <c r="Z86" t="inlineStr"/>
      <c r="AA86" s="31" t="n"/>
    </row>
    <row r="87">
      <c r="A87" s="31" t="inlineStr">
        <is>
          <t>TOOL-A04</t>
        </is>
      </c>
      <c r="B87" s="31" t="inlineStr">
        <is>
          <t>Live</t>
        </is>
      </c>
      <c r="C87" s="31" t="inlineStr">
        <is>
          <t>DMOM1069</t>
        </is>
      </c>
      <c r="D87" s="31" t="n">
        <v>127.5</v>
      </c>
      <c r="H87" t="inlineStr"/>
      <c r="I87" s="31" t="n"/>
      <c r="L87" s="31" t="n"/>
      <c r="N87" s="31" t="n"/>
      <c r="P87" s="31" t="inlineStr"/>
      <c r="R87" s="31" t="inlineStr"/>
      <c r="T87" s="31" t="inlineStr"/>
      <c r="V87" s="31" t="inlineStr"/>
      <c r="Z87" t="inlineStr"/>
      <c r="AA87" s="31" t="n"/>
    </row>
    <row r="88">
      <c r="A88" s="31" t="inlineStr">
        <is>
          <t>TOOL-B08</t>
        </is>
      </c>
      <c r="B88" s="31" t="inlineStr">
        <is>
          <t>Live</t>
        </is>
      </c>
      <c r="C88" s="31" t="inlineStr">
        <is>
          <t>DMOM1077</t>
        </is>
      </c>
      <c r="D88" s="31" t="n">
        <v>212.5</v>
      </c>
      <c r="H88" t="inlineStr"/>
      <c r="I88" s="31" t="n"/>
      <c r="L88" s="31" t="n"/>
      <c r="N88" s="31" t="n"/>
      <c r="P88" s="31" t="inlineStr"/>
      <c r="R88" s="31" t="inlineStr"/>
      <c r="T88" s="31" t="inlineStr"/>
      <c r="V88" s="31" t="inlineStr"/>
      <c r="Z88" t="inlineStr"/>
      <c r="AA88" s="31" t="n"/>
    </row>
    <row r="89">
      <c r="A89" s="31" t="inlineStr">
        <is>
          <t>TOOL-A01</t>
        </is>
      </c>
      <c r="B89" s="31" t="inlineStr">
        <is>
          <t>Live</t>
        </is>
      </c>
      <c r="C89" s="31" t="inlineStr">
        <is>
          <t>DMOM1072</t>
        </is>
      </c>
      <c r="D89" s="31" t="n">
        <v>76.5</v>
      </c>
      <c r="H89" t="inlineStr"/>
      <c r="I89" s="31" t="n"/>
      <c r="L89" s="31" t="n"/>
      <c r="N89" s="31" t="n"/>
      <c r="P89" s="31" t="inlineStr"/>
      <c r="R89" s="31" t="inlineStr"/>
      <c r="T89" s="31" t="inlineStr"/>
      <c r="V89" s="31" t="inlineStr"/>
      <c r="Z89" t="inlineStr"/>
      <c r="AA89" s="31" t="n"/>
    </row>
    <row r="90">
      <c r="A90" s="31" t="inlineStr">
        <is>
          <t>TOOL-B06</t>
        </is>
      </c>
      <c r="B90" s="31" t="inlineStr">
        <is>
          <t>Live</t>
        </is>
      </c>
      <c r="C90" s="31" t="inlineStr">
        <is>
          <t>DMOM1068</t>
        </is>
      </c>
      <c r="D90" s="31" t="n">
        <v>161.5</v>
      </c>
      <c r="H90" t="inlineStr"/>
      <c r="I90" s="31" t="n"/>
      <c r="L90" s="31" t="n"/>
      <c r="N90" s="31" t="n"/>
      <c r="P90" s="31" t="inlineStr"/>
      <c r="R90" s="31" t="inlineStr"/>
      <c r="T90" s="31" t="inlineStr"/>
      <c r="V90" s="31" t="inlineStr"/>
      <c r="Z90" t="inlineStr"/>
      <c r="AA90" s="31" t="n"/>
    </row>
    <row r="91">
      <c r="A91" s="31" t="inlineStr">
        <is>
          <t>TOOL-B02</t>
        </is>
      </c>
      <c r="B91" s="31" t="inlineStr">
        <is>
          <t>Live</t>
        </is>
      </c>
      <c r="C91" s="31" t="inlineStr">
        <is>
          <t>DMOM1070</t>
        </is>
      </c>
      <c r="D91" s="31" t="n">
        <v>110.5</v>
      </c>
      <c r="H91" t="inlineStr"/>
      <c r="I91" s="31" t="n"/>
      <c r="L91" s="31" t="n"/>
      <c r="N91" s="31" t="n"/>
      <c r="P91" s="31" t="inlineStr"/>
      <c r="R91" s="31" t="inlineStr"/>
      <c r="T91" s="31" t="inlineStr"/>
      <c r="V91" s="31" t="inlineStr"/>
      <c r="Z91" t="inlineStr"/>
      <c r="AA91" s="31" t="n"/>
    </row>
    <row r="92">
      <c r="A92" s="31" t="inlineStr">
        <is>
          <t>TOOL-A08</t>
        </is>
      </c>
      <c r="B92" s="31" t="inlineStr">
        <is>
          <t>Live</t>
        </is>
      </c>
      <c r="C92" s="31" t="inlineStr">
        <is>
          <t>DMOM1077</t>
        </is>
      </c>
      <c r="D92" s="31" t="n">
        <v>212.5</v>
      </c>
      <c r="H92" t="inlineStr"/>
      <c r="I92" s="31" t="n"/>
      <c r="L92" s="31" t="n"/>
      <c r="N92" s="31" t="n"/>
      <c r="P92" s="31" t="inlineStr"/>
      <c r="R92" s="31" t="inlineStr"/>
      <c r="T92" s="31" t="inlineStr"/>
      <c r="V92" s="31" t="inlineStr"/>
      <c r="Z92" t="inlineStr"/>
      <c r="AA92" s="31" t="n"/>
    </row>
    <row r="93">
      <c r="A93" s="31" t="inlineStr">
        <is>
          <t>TOOL-A05</t>
        </is>
      </c>
      <c r="B93" s="31" t="inlineStr">
        <is>
          <t>Live</t>
        </is>
      </c>
      <c r="C93" s="31" t="inlineStr">
        <is>
          <t>DMOM1067</t>
        </is>
      </c>
      <c r="D93" s="31" t="n">
        <v>146.2</v>
      </c>
      <c r="H93" t="inlineStr"/>
      <c r="I93" s="31" t="n"/>
      <c r="L93" s="31" t="n"/>
      <c r="N93" s="31" t="n"/>
      <c r="P93" s="31" t="inlineStr"/>
      <c r="R93" s="31" t="inlineStr"/>
      <c r="T93" s="31" t="inlineStr"/>
      <c r="V93" s="31" t="inlineStr"/>
      <c r="Z93" t="inlineStr"/>
      <c r="AA93" s="31" t="n"/>
    </row>
    <row r="94">
      <c r="A94" s="31" t="inlineStr">
        <is>
          <t>TOOL-B01</t>
        </is>
      </c>
      <c r="B94" s="31" t="inlineStr">
        <is>
          <t>Live</t>
        </is>
      </c>
      <c r="C94" s="31" t="inlineStr">
        <is>
          <t>DMOM1072</t>
        </is>
      </c>
      <c r="D94" s="31" t="n">
        <v>74.8</v>
      </c>
      <c r="H94" t="inlineStr"/>
      <c r="I94" s="31" t="n"/>
      <c r="L94" s="31" t="n"/>
      <c r="N94" s="31" t="n"/>
      <c r="P94" s="31" t="inlineStr"/>
      <c r="R94" s="31" t="inlineStr"/>
      <c r="T94" s="31" t="inlineStr"/>
      <c r="V94" s="31" t="inlineStr"/>
      <c r="Z94" t="inlineStr"/>
      <c r="AA94" s="3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2026-06-04T09:31:42Z</dcterms:created>
  <dcterms:modified xmlns:dcterms="http://purl.org/dc/terms/" xmlns:xsi="http://www.w3.org/2001/XMLSchema-instance" xsi:type="dcterms:W3CDTF">2026-06-04T09:31:42Z</dcterms:modified>
</cp:coreProperties>
</file>